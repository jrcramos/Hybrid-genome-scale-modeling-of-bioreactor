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4.xml" ContentType="application/vnd.ms-excel.person+xml"/>
  <Override PartName="/xl/persons/person15.xml" ContentType="application/vnd.ms-excel.person+xml"/>
  <Override PartName="/xl/persons/person10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14.xml" ContentType="application/vnd.ms-excel.person+xml"/>
  <Override PartName="/xl/persons/person5.xml" ContentType="application/vnd.ms-excel.person+xml"/>
  <Override PartName="/xl/persons/person7.xml" ContentType="application/vnd.ms-excel.person+xml"/>
  <Override PartName="/xl/persons/person18.xml" ContentType="application/vnd.ms-excel.person+xml"/>
  <Override PartName="/xl/persons/person0.xml" ContentType="application/vnd.ms-excel.person+xml"/>
  <Override PartName="/xl/persons/person13.xml" ContentType="application/vnd.ms-excel.person+xml"/>
  <Override PartName="/xl/persons/person21.xml" ContentType="application/vnd.ms-excel.person+xml"/>
  <Override PartName="/xl/persons/person3.xml" ContentType="application/vnd.ms-excel.person+xml"/>
  <Override PartName="/xl/persons/person11.xml" ContentType="application/vnd.ms-excel.person+xml"/>
  <Override PartName="/xl/persons/person16.xml" ContentType="application/vnd.ms-excel.person+xml"/>
  <Override PartName="/xl/persons/person22.xml" ContentType="application/vnd.ms-excel.person+xml"/>
  <Override PartName="/xl/persons/person9.xml" ContentType="application/vnd.ms-excel.person+xml"/>
  <Override PartName="/xl/persons/person19.xml" ContentType="application/vnd.ms-excel.person+xml"/>
  <Override PartName="/xl/persons/person.xml" ContentType="application/vnd.ms-excel.person+xml"/>
  <Override PartName="/xl/persons/person20.xml" ContentType="application/vnd.ms-excel.person+xml"/>
  <Override PartName="/xl/persons/person17.xml" ContentType="application/vnd.ms-excel.person+xml"/>
  <Override PartName="/xl/persons/person12.xml" ContentType="application/vnd.ms-excel.person+xml"/>
  <Override PartName="/xl/persons/person8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BEgroup\OneDrive\Documents\SilicoMedia\Publications\HybridGEM\suppInfo\toy_example\GEM\"/>
    </mc:Choice>
  </mc:AlternateContent>
  <xr:revisionPtr revIDLastSave="3" documentId="14_{ABAC7046-1DED-47C6-A4A3-8FB39DAEA0BE}" xr6:coauthVersionLast="36" xr6:coauthVersionMax="36" xr10:uidLastSave="{CF84BBCA-091A-468F-8980-64B5D5692777}"/>
  <bookViews>
    <workbookView xWindow="765" yWindow="330" windowWidth="26700" windowHeight="11295" activeTab="3" xr2:uid="{00000000-000D-0000-FFFF-FFFF00000000}"/>
  </bookViews>
  <sheets>
    <sheet name="Stoichiometric matrix" sheetId="4" r:id="rId1"/>
    <sheet name="Eqs_Formated" sheetId="1" r:id="rId2"/>
    <sheet name="Reactions" sheetId="5" r:id="rId3"/>
    <sheet name="Stoichiometric matrix_Eqs" sheetId="6" r:id="rId4"/>
  </sheets>
  <calcPr calcId="191029"/>
</workbook>
</file>

<file path=xl/calcChain.xml><?xml version="1.0" encoding="utf-8"?>
<calcChain xmlns="http://schemas.openxmlformats.org/spreadsheetml/2006/main">
  <c r="A47" i="4" l="1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<sst xmlns="http://schemas.openxmlformats.org/spreadsheetml/2006/main" count="378" uniqueCount="378">
  <si>
    <t>+2*VPFK - 1*VPGK + 1*VTK</t>
  </si>
  <si>
    <t>+1*VSDH - 1*VMLD -1*VME + 1*VAATOSUC + 2*VPPRIBP</t>
  </si>
  <si>
    <t>-1*VCS + 1*VMLD + 1*VPC + 1*VASTA</t>
  </si>
  <si>
    <t>+1*VPGK - 1*VPK</t>
  </si>
  <si>
    <t>+1*VEP - 2*VTK</t>
  </si>
  <si>
    <t>+1*VAKGDH - 1*VSDH + 3*VAATOSUC</t>
  </si>
  <si>
    <t>VGROWTH</t>
  </si>
  <si>
    <t>VMAB</t>
  </si>
  <si>
    <t>VALATA</t>
  </si>
  <si>
    <t>VHISARGTA</t>
  </si>
  <si>
    <t>VASN</t>
  </si>
  <si>
    <t>VASTA</t>
  </si>
  <si>
    <t>VPPRIBP</t>
  </si>
  <si>
    <t>VHK</t>
  </si>
  <si>
    <t>VGLNT</t>
  </si>
  <si>
    <t>VGLUT</t>
  </si>
  <si>
    <t>VAATOSUC</t>
  </si>
  <si>
    <t>VLDH</t>
  </si>
  <si>
    <t>VGLDH</t>
  </si>
  <si>
    <t>VSDHH</t>
  </si>
  <si>
    <t>VPDH</t>
  </si>
  <si>
    <t>VCS</t>
  </si>
  <si>
    <t>VPFK</t>
  </si>
  <si>
    <t>VPGK</t>
  </si>
  <si>
    <t>VPK</t>
  </si>
  <si>
    <t>VSDH</t>
  </si>
  <si>
    <t>VPC</t>
  </si>
  <si>
    <t>VATPASE</t>
  </si>
  <si>
    <t>VAK</t>
  </si>
  <si>
    <t>VCITS</t>
  </si>
  <si>
    <t>VAKGDH</t>
  </si>
  <si>
    <t>VPGI</t>
  </si>
  <si>
    <t>VTK</t>
  </si>
  <si>
    <t>VG6PDH</t>
  </si>
  <si>
    <t>VMLD</t>
  </si>
  <si>
    <t>VME</t>
  </si>
  <si>
    <t>VRESP</t>
  </si>
  <si>
    <t>VLEAK</t>
  </si>
  <si>
    <t>VNADPHOX</t>
  </si>
  <si>
    <t>VEP</t>
  </si>
  <si>
    <t>isrev</t>
  </si>
  <si>
    <t>lb</t>
  </si>
  <si>
    <t>ub</t>
  </si>
  <si>
    <t>gpr</t>
  </si>
  <si>
    <t>VPYRT</t>
  </si>
  <si>
    <t>-1*VPYRT</t>
  </si>
  <si>
    <t>+1*VMAB</t>
  </si>
  <si>
    <t xml:space="preserve">+1*VHK - 1*VPGI - 1*VG6PDH -0.0255*VGROWTH  </t>
  </si>
  <si>
    <t>mAb[e]</t>
  </si>
  <si>
    <t>ACCOA[c]</t>
  </si>
  <si>
    <t>ADP[c]</t>
  </si>
  <si>
    <t>AKG[c]</t>
  </si>
  <si>
    <t>AMP[c]</t>
  </si>
  <si>
    <t>ATP[c]</t>
  </si>
  <si>
    <t>CIT[c]</t>
  </si>
  <si>
    <t>F6P[c]</t>
  </si>
  <si>
    <t>G6P[c]</t>
  </si>
  <si>
    <t>GAP[c]</t>
  </si>
  <si>
    <t>GLU[c]</t>
  </si>
  <si>
    <t>MAL[c]</t>
  </si>
  <si>
    <t>NAD[c]</t>
  </si>
  <si>
    <t>NADH[c]</t>
  </si>
  <si>
    <t>NADP[c]</t>
  </si>
  <si>
    <t>NADPH[c]</t>
  </si>
  <si>
    <t>OXA[c]</t>
  </si>
  <si>
    <t>PEP[c]</t>
  </si>
  <si>
    <t>PYR[c]</t>
  </si>
  <si>
    <t>R5P[c]</t>
  </si>
  <si>
    <t>SUC[c]</t>
  </si>
  <si>
    <t>X5P[c]</t>
  </si>
  <si>
    <t>+1*VG6PDH - 1*VEP - 1*VTK - 0.6*VPPRIBP -0.1219*VGROWTH</t>
  </si>
  <si>
    <t>+1*VGROWTH -1*kD</t>
  </si>
  <si>
    <t>kD</t>
  </si>
  <si>
    <t>Ala[e]</t>
  </si>
  <si>
    <t>Arg[e]</t>
  </si>
  <si>
    <t>Asn[e]</t>
  </si>
  <si>
    <t>Asp[e]</t>
  </si>
  <si>
    <t>Cys[e]</t>
  </si>
  <si>
    <t>Glc[e]</t>
  </si>
  <si>
    <t>Gln[e]</t>
  </si>
  <si>
    <t>Glu[e]</t>
  </si>
  <si>
    <t>Gly[e]</t>
  </si>
  <si>
    <t>His[e]</t>
  </si>
  <si>
    <t>Ile[e]</t>
  </si>
  <si>
    <t>Lac[e]</t>
  </si>
  <si>
    <t>Leu[e]</t>
  </si>
  <si>
    <t>Lys[e]</t>
  </si>
  <si>
    <t>Met[e]</t>
  </si>
  <si>
    <t>Nh4[e]</t>
  </si>
  <si>
    <t>Phe[e]</t>
  </si>
  <si>
    <t>Pro[e]</t>
  </si>
  <si>
    <t>Ser[e]</t>
  </si>
  <si>
    <t>Thr[e]</t>
  </si>
  <si>
    <t>Tyr[e]</t>
  </si>
  <si>
    <t>Val[e]</t>
  </si>
  <si>
    <t>Pyr[e]</t>
  </si>
  <si>
    <t>Xv[e]</t>
  </si>
  <si>
    <t>VPPI</t>
  </si>
  <si>
    <t>VHISGLU</t>
  </si>
  <si>
    <t>VCYSPYR</t>
  </si>
  <si>
    <t>VASNASP</t>
  </si>
  <si>
    <t>+1*VCS -1*VCITS -0.40*VGROWTH</t>
  </si>
  <si>
    <t xml:space="preserve">+1*VPGI -1*VPFK +2*VTK </t>
  </si>
  <si>
    <t>VSERGLY</t>
  </si>
  <si>
    <t>VSERPYR</t>
  </si>
  <si>
    <t>VTHRMET</t>
  </si>
  <si>
    <t>bNAD</t>
  </si>
  <si>
    <t>VTALDO</t>
  </si>
  <si>
    <t>VATPm</t>
  </si>
  <si>
    <t>VPYRALA</t>
  </si>
  <si>
    <t>+1*VPK - 1*VLDH -1*VPDH - 1*VPC + 1*VME - 1*VALATA + 1*VSDHH +1*VPYRT +1*VCYSPYR +1*VSERPYR +1*VTHRMET -1*VPYRALA</t>
  </si>
  <si>
    <t>VASDA</t>
  </si>
  <si>
    <t>-1*VGLCT</t>
  </si>
  <si>
    <t>-1*VHK +1*VGLCT</t>
  </si>
  <si>
    <t>VGLCT</t>
  </si>
  <si>
    <t>-1*LACT</t>
  </si>
  <si>
    <t>+1*VLDH +1*LACT</t>
  </si>
  <si>
    <t>LACT</t>
  </si>
  <si>
    <t>Ala[c]</t>
  </si>
  <si>
    <t>Arg[c]</t>
  </si>
  <si>
    <t>Asn[c]</t>
  </si>
  <si>
    <t>Asp[c]</t>
  </si>
  <si>
    <t>Cys[c]</t>
  </si>
  <si>
    <t>Glc[c]</t>
  </si>
  <si>
    <t>Gln[c]</t>
  </si>
  <si>
    <t>Gly[c]</t>
  </si>
  <si>
    <t>His[c]</t>
  </si>
  <si>
    <t>Ile[c]</t>
  </si>
  <si>
    <t>Lac[c]</t>
  </si>
  <si>
    <t>Leu[c]</t>
  </si>
  <si>
    <t>Lys[c]</t>
  </si>
  <si>
    <t>Met[c]</t>
  </si>
  <si>
    <t>Nh4[c]</t>
  </si>
  <si>
    <t>Phe[c]</t>
  </si>
  <si>
    <t>Pro[c]</t>
  </si>
  <si>
    <t>Ser[c]</t>
  </si>
  <si>
    <t>Thr[c]</t>
  </si>
  <si>
    <t>Tyr[c]</t>
  </si>
  <si>
    <t>Val[c]</t>
  </si>
  <si>
    <t>-1*ALAT</t>
  </si>
  <si>
    <t>+1*VALATA -78*VMAB - 0.449*VGROWTH +1*VPYRALA +1*VASDA +1*ALAT</t>
  </si>
  <si>
    <t>ALAT</t>
  </si>
  <si>
    <t>-1*ARGT</t>
  </si>
  <si>
    <t>ARGT</t>
  </si>
  <si>
    <t>-1*ASNT</t>
  </si>
  <si>
    <t>-1*VASN  -52*VMAB   -0.209*VGROWTH - 1*VASNASP +1*ASNT</t>
  </si>
  <si>
    <t>ASNT</t>
  </si>
  <si>
    <t>-1*ASPT</t>
  </si>
  <si>
    <t>+1*VASN - 1*VASTA -2*VPPRIBP  -46*VMAB -0.258*VGROWTH +1*VASNASP -1*VASDA +1*ASPT</t>
  </si>
  <si>
    <t>ASPT</t>
  </si>
  <si>
    <t>-1*CYST</t>
  </si>
  <si>
    <t>CYST</t>
  </si>
  <si>
    <t>-1*GLYT</t>
  </si>
  <si>
    <t>-1*VPPRIBP + 2*VPPRIBP  -88*VMAB -0.477*VGROWTH -1*VHISGLU +1*VSERGLY +1*GLYT</t>
  </si>
  <si>
    <t>GLYT</t>
  </si>
  <si>
    <t>-1*HIST</t>
  </si>
  <si>
    <t>-1*VHISARGTA   -26*VMAB   -2.08e-2*VGROWTH -1*VHISGLU +1*HIST</t>
  </si>
  <si>
    <t>HIST</t>
  </si>
  <si>
    <t>-1*ILET</t>
  </si>
  <si>
    <t>ILET</t>
  </si>
  <si>
    <t>-1*LEUT</t>
  </si>
  <si>
    <t>-1*LYST</t>
  </si>
  <si>
    <t>LEUT</t>
  </si>
  <si>
    <t>-1*METT</t>
  </si>
  <si>
    <t>-1*NH4T</t>
  </si>
  <si>
    <t>-1*PHET</t>
  </si>
  <si>
    <t>-1*PROT</t>
  </si>
  <si>
    <t>-1*SERT</t>
  </si>
  <si>
    <t>-1*THRT</t>
  </si>
  <si>
    <t>-1*TYRT</t>
  </si>
  <si>
    <t>-1*VALT</t>
  </si>
  <si>
    <t>LYST</t>
  </si>
  <si>
    <t>METT</t>
  </si>
  <si>
    <t>NH4T</t>
  </si>
  <si>
    <t>PHET</t>
  </si>
  <si>
    <t>PROT</t>
  </si>
  <si>
    <t>SERT</t>
  </si>
  <si>
    <t>THRT</t>
  </si>
  <si>
    <t>-110*VMAB  -0.255*VGROWTH -1*VTHRMET  -1*VTHRMET +1*THRT</t>
  </si>
  <si>
    <t>TYRT</t>
  </si>
  <si>
    <t>VALT</t>
  </si>
  <si>
    <t>-1*VGLUT</t>
  </si>
  <si>
    <t>GLNTT</t>
  </si>
  <si>
    <t>-1*GLNTT</t>
  </si>
  <si>
    <t>-1*VAATOSUC  -28*VMAB -0.220*VGROWTH +1*ILET +1*LEUT -1*ILEMET</t>
  </si>
  <si>
    <t>ILEMET</t>
  </si>
  <si>
    <t>LEUMET</t>
  </si>
  <si>
    <t>VALMET</t>
  </si>
  <si>
    <t>-1*VAATOSUC  -118*VMAB -0.323*VGROWTH +1*VALT -1*VALMET</t>
  </si>
  <si>
    <t>LYSMET</t>
  </si>
  <si>
    <t>- 2*VG6PDH - 2*VAATOSUC + 1*VNADPHOX +1*bNADP</t>
  </si>
  <si>
    <t>bNADP</t>
  </si>
  <si>
    <t>METCAT</t>
  </si>
  <si>
    <t xml:space="preserve"> -12*VMAB  -0.106*VGROWTH +1*METT -1*METCAT</t>
  </si>
  <si>
    <t>-1*VSDHH   -176*VMAB -0.323*VGROWTH -1*VSERGLY -1*VSERPYR +1*VTALDO +1*SERT -1*METCAT</t>
  </si>
  <si>
    <t>-32*VMAB -0.083*VGROWTH -1*VCYSPYR +1*CYST +1*METCAT</t>
  </si>
  <si>
    <t>PHECAT</t>
  </si>
  <si>
    <t>-40*VMAB -0.187*VGROWTH +1*PHET -1*PHECAT</t>
  </si>
  <si>
    <t>+2*VG6PDH + 2*VAATOSUC -1*VNADPHOX -1*LYSMET -1*PHECAT</t>
  </si>
  <si>
    <t>PROCAT</t>
  </si>
  <si>
    <t>-96*VMAB -0.222*VGROWTH +1*PROT -1*PROCAT</t>
  </si>
  <si>
    <t>-1*VHK - 1*VPFK + 1*VPGK + 1*VPK + 1*VSDH - 1*VPC + 1*VGLNT - 1*VAATOSUC - 1*VATPASE + 5*VRESP - 1*VAK -2*VPPRIBP -29.83*VGROWTH -3980*VMAB  -1*VHISGLU -1*VATPm -0.5*ILEMET -0.5*LEUMET -0.5*VALMET +1.5*LYSMET -4*METCAT +1.5*VTHRMET</t>
  </si>
  <si>
    <t>TYRCAT</t>
  </si>
  <si>
    <t>-1*VAATOSUC  -62*VMAB -0.131*VGROWTH -1*VTALDO +1*TYRT +1*PHECAT -1*TYRCAT</t>
  </si>
  <si>
    <t>+1*VPDH  -1*VCS +8*VAATOSUC +1*ILEMET +3*LEUMET +2*LYSMET +1*TYRCAT</t>
  </si>
  <si>
    <t>+1*VGLNT -1*VGLDH - 1*VALATA + 1*VASTA + 4*VAATOSUC + 4*VHISARGTA +1*VGLUT +1*VHISGLU   -62*VMAB -0.303*VGROWTH +1*ILEMET +1*LEUMET +1*VALMET +2*LYSMET +1*PROCAT +1*TYRCAT +1*VCYSPYR</t>
  </si>
  <si>
    <t>ARGCAT</t>
  </si>
  <si>
    <t>- 1*VPGK + 1*VLDH - 1*VPDH - 1*VCITS - 1*VAKGDH - 0.6666667*VSDH - 1*VMLD - 1*VME - 1*VGLDH -9*VAATOSUC + 2*VRESP + 2*VLEAK +1*bNAD -2*VTHRMET -1*VTHRMET -1*ILEMET -1*LEUMET -3*VALMET -4*LYSMET -1*METCAT -2*PROCAT -1*ARGCAT</t>
  </si>
  <si>
    <t>+1*VPGK - 1*VLDH + 1*VPDH + 1*VCITS + 1*VAKGDH +0.6666667*VSDH + 1*VMLD + 1*VME + 1*VGLDH + 9*VAATOSUC - 2*VRESP - 2*VLEAK +2*VTHRMET +1*VTHRMET +1*ILEMET +1*LEUMET +3*VALMET +4*LYSMET +1*METCAT +2*PROCAT +1*ARGCAT</t>
  </si>
  <si>
    <t>+1*VCITS - 1*VAKGDH + 1*VGLDH + 1*VALATA -1* VASTA -7*VAATOSUC -1*VHISARGTA -1*ILEMET -1*LEUMET -1*VALMET -2*LYSMET +1*METCAT -1*VCYSPYR -1*ARGCAT</t>
  </si>
  <si>
    <t>-1*VHISARGTA  -28*VMAB   -0.247*VGROWTH +1*ARGT -1*ARGCAT</t>
  </si>
  <si>
    <t>-1*VGLNT -2*VPPRIBP  -60*VMAB -0.353*VGROWTH +1*GLNTT +2*ARGCAT</t>
  </si>
  <si>
    <t>+1*VGLNT +1*VGLDH +1*VASN +1*VHISARGTA +1*VSDHH +2*VHISGLU +1*VASNASP +1*VSERPYR +1*VTHRMET +1*NH4T +1*METCAT +1*ARGCAT</t>
  </si>
  <si>
    <t>-1*VAK +1*VPPRIBP +1*VPPI -1*VAMP</t>
  </si>
  <si>
    <t>+1*VHK +1*VPFK -1*VPGK - 1*VPK - 1*VSDH + 1*VPC - 1*VGLNT + 1*VAATOSUC + 1*VATPASE - 5*VRESP + 2*VAK + 2*VPPRIBP + 29.83*VGROWTH +3980*VMAB  +1*VHISGLU +1*VATPm +0.5*ILEMET +0.5*LEUMET +0.5*VALMET -1.5*LYSMET +4*METCAT -1.5*VTHRMET +1*VAMP</t>
  </si>
  <si>
    <t>VAMP</t>
  </si>
  <si>
    <t>-1*VAATOSUC -90*VMAB -0.427*VGROWTH -1*LEUMET +1*LEUT</t>
  </si>
  <si>
    <t>-1*VAATOSUC  -98*VMAB -0.388*VGROWTH +1*LYST</t>
  </si>
  <si>
    <t>VPDH</t>
  </si>
  <si>
    <t>VCS</t>
  </si>
  <si>
    <t>VPFK</t>
  </si>
  <si>
    <t>VPGK</t>
  </si>
  <si>
    <t>VPK</t>
  </si>
  <si>
    <t>VSDH</t>
  </si>
  <si>
    <t>VPC</t>
  </si>
  <si>
    <t>VATPASE</t>
  </si>
  <si>
    <t>VRESP</t>
  </si>
  <si>
    <t>VAK</t>
  </si>
  <si>
    <t>VATPm</t>
  </si>
  <si>
    <t>VAMP</t>
  </si>
  <si>
    <t>VCITS</t>
  </si>
  <si>
    <t>VAKGDH</t>
  </si>
  <si>
    <t>VPPI</t>
  </si>
  <si>
    <t>VPGI</t>
  </si>
  <si>
    <t>VTK</t>
  </si>
  <si>
    <t>VG6PDH</t>
  </si>
  <si>
    <t>VMLD</t>
  </si>
  <si>
    <t>VME</t>
  </si>
  <si>
    <t>VLEAK</t>
  </si>
  <si>
    <t>bNAD</t>
  </si>
  <si>
    <t>VNADPHOX</t>
  </si>
  <si>
    <t>bNADP</t>
  </si>
  <si>
    <t>VPYRALA</t>
  </si>
  <si>
    <t>VEP</t>
  </si>
  <si>
    <t>VAATOSUC</t>
  </si>
  <si>
    <t>ILEMET</t>
  </si>
  <si>
    <t>LEUMET</t>
  </si>
  <si>
    <t>LYSMET</t>
  </si>
  <si>
    <t>TYRCAT</t>
  </si>
  <si>
    <t>VHK</t>
  </si>
  <si>
    <t>VGLNT</t>
  </si>
  <si>
    <t>VPPRIBP</t>
  </si>
  <si>
    <t>VHISGLU</t>
  </si>
  <si>
    <t>VALMET</t>
  </si>
  <si>
    <t>METCAT</t>
  </si>
  <si>
    <t>VTHRMET</t>
  </si>
  <si>
    <t>VGLDH</t>
  </si>
  <si>
    <t>VALATA</t>
  </si>
  <si>
    <t>VASTA</t>
  </si>
  <si>
    <t>VHISARGTA</t>
  </si>
  <si>
    <t>VCYSPYR</t>
  </si>
  <si>
    <t>ARGCAT</t>
  </si>
  <si>
    <t>VLDH</t>
  </si>
  <si>
    <t>PROCAT</t>
  </si>
  <si>
    <t>PHECAT</t>
  </si>
  <si>
    <t>VSDHH</t>
  </si>
  <si>
    <t>VPYRT</t>
  </si>
  <si>
    <t>VSERPYR</t>
  </si>
  <si>
    <t>VASDA</t>
  </si>
  <si>
    <t>ALAT</t>
  </si>
  <si>
    <t>ARGT</t>
  </si>
  <si>
    <t>VASN</t>
  </si>
  <si>
    <t>VASNASP</t>
  </si>
  <si>
    <t>ASNT</t>
  </si>
  <si>
    <t>ASPT</t>
  </si>
  <si>
    <t>CYST</t>
  </si>
  <si>
    <t>VGLCT</t>
  </si>
  <si>
    <t>GLNTT</t>
  </si>
  <si>
    <t>VGLUT</t>
  </si>
  <si>
    <t>VSERGLY</t>
  </si>
  <si>
    <t>GLYT</t>
  </si>
  <si>
    <t>HIST</t>
  </si>
  <si>
    <t>ILET</t>
  </si>
  <si>
    <t>LEUT</t>
  </si>
  <si>
    <t>LACT</t>
  </si>
  <si>
    <t>LYST</t>
  </si>
  <si>
    <t>METT</t>
  </si>
  <si>
    <t>NH4T</t>
  </si>
  <si>
    <t>PHET</t>
  </si>
  <si>
    <t>PROT</t>
  </si>
  <si>
    <t>VTALDO</t>
  </si>
  <si>
    <t>SERT</t>
  </si>
  <si>
    <t>THRT</t>
  </si>
  <si>
    <t>TYRT</t>
  </si>
  <si>
    <t>VALT</t>
  </si>
  <si>
    <t>kD</t>
  </si>
  <si>
    <t>VMAB</t>
  </si>
  <si>
    <t>VGROWTH</t>
  </si>
  <si>
    <t>VPDH</t>
  </si>
  <si>
    <t>VCS</t>
  </si>
  <si>
    <t>VPFK</t>
  </si>
  <si>
    <t>VPGK</t>
  </si>
  <si>
    <t>VPK</t>
  </si>
  <si>
    <t>VSDH</t>
  </si>
  <si>
    <t>VPC</t>
  </si>
  <si>
    <t>VATPASE</t>
  </si>
  <si>
    <t>VRESP</t>
  </si>
  <si>
    <t>VAK</t>
  </si>
  <si>
    <t>VATPm</t>
  </si>
  <si>
    <t>VAMP</t>
  </si>
  <si>
    <t>VCITS</t>
  </si>
  <si>
    <t>VAKGDH</t>
  </si>
  <si>
    <t>VPPI</t>
  </si>
  <si>
    <t>VPGI</t>
  </si>
  <si>
    <t>VTK</t>
  </si>
  <si>
    <t>VG6PDH</t>
  </si>
  <si>
    <t>VMLD</t>
  </si>
  <si>
    <t>VME</t>
  </si>
  <si>
    <t>VLEAK</t>
  </si>
  <si>
    <t>bNAD</t>
  </si>
  <si>
    <t>VNADPHOX</t>
  </si>
  <si>
    <t>bNADP</t>
  </si>
  <si>
    <t>VPYRALA</t>
  </si>
  <si>
    <t>VEP</t>
  </si>
  <si>
    <t>VAATOSUC</t>
  </si>
  <si>
    <t>ILEMET</t>
  </si>
  <si>
    <t>LEUMET</t>
  </si>
  <si>
    <t>LYSMET</t>
  </si>
  <si>
    <t>TYRCAT</t>
  </si>
  <si>
    <t>VHK</t>
  </si>
  <si>
    <t>VGLNT</t>
  </si>
  <si>
    <t>VPPRIBP</t>
  </si>
  <si>
    <t>VHISGLU</t>
  </si>
  <si>
    <t>VALMET</t>
  </si>
  <si>
    <t>METCAT</t>
  </si>
  <si>
    <t>VTHRMET</t>
  </si>
  <si>
    <t>VGLDH</t>
  </si>
  <si>
    <t>VALATA</t>
  </si>
  <si>
    <t>VASTA</t>
  </si>
  <si>
    <t>VHISARGTA</t>
  </si>
  <si>
    <t>VCYSPYR</t>
  </si>
  <si>
    <t>ARGCAT</t>
  </si>
  <si>
    <t>VLDH</t>
  </si>
  <si>
    <t>PROCAT</t>
  </si>
  <si>
    <t>PHECAT</t>
  </si>
  <si>
    <t>VSDHH</t>
  </si>
  <si>
    <t>VPYRT</t>
  </si>
  <si>
    <t>VSERPYR</t>
  </si>
  <si>
    <t>VASDA</t>
  </si>
  <si>
    <t>ALAT</t>
  </si>
  <si>
    <t>ARGT</t>
  </si>
  <si>
    <t>VASN</t>
  </si>
  <si>
    <t>VASNASP</t>
  </si>
  <si>
    <t>ASNT</t>
  </si>
  <si>
    <t>ASPT</t>
  </si>
  <si>
    <t>CYST</t>
  </si>
  <si>
    <t>VGLCT</t>
  </si>
  <si>
    <t>GLNTT</t>
  </si>
  <si>
    <t>VGLUT</t>
  </si>
  <si>
    <t>VSERGLY</t>
  </si>
  <si>
    <t>GLYT</t>
  </si>
  <si>
    <t>HIST</t>
  </si>
  <si>
    <t>ILET</t>
  </si>
  <si>
    <t>LEUT</t>
  </si>
  <si>
    <t>LACT</t>
  </si>
  <si>
    <t>LYST</t>
  </si>
  <si>
    <t>METT</t>
  </si>
  <si>
    <t>NH4T</t>
  </si>
  <si>
    <t>PHET</t>
  </si>
  <si>
    <t>PROT</t>
  </si>
  <si>
    <t>VTALDO</t>
  </si>
  <si>
    <t>SERT</t>
  </si>
  <si>
    <t>THRT</t>
  </si>
  <si>
    <t>TYRT</t>
  </si>
  <si>
    <t>VALT</t>
  </si>
  <si>
    <t>kD</t>
  </si>
  <si>
    <t>VMAB</t>
  </si>
  <si>
    <t>VGROWTH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</si>
</sst>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49" fontId="1" fillId="0" borderId="0" xfId="1" applyNumberFormat="1"/>
    <xf numFmtId="49" fontId="0" fillId="0" borderId="0" xfId="0" applyNumberFormat="1"/>
    <xf numFmtId="49" fontId="0" fillId="0" borderId="1" xfId="0" applyNumberFormat="1" applyBorder="1"/>
    <xf numFmtId="2" fontId="0" fillId="0" borderId="0" xfId="0" applyNumberFormat="1"/>
    <xf numFmtId="0" fontId="3" fillId="0" borderId="0" xfId="0" applyFont="1" applyAlignment="1">
      <alignment horizontal="left" vertical="center" indent="3"/>
    </xf>
    <xf numFmtId="0" fontId="2" fillId="0" borderId="0" xfId="1" applyFont="1"/>
    <xf numFmtId="49" fontId="2" fillId="0" borderId="0" xfId="1" applyNumberFormat="1" applyFont="1"/>
    <xf numFmtId="49" fontId="2" fillId="0" borderId="0" xfId="0" applyNumberFormat="1" applyFont="1"/>
    <xf numFmtId="0" fontId="2" fillId="0" borderId="1" xfId="1" applyFont="1" applyBorder="1"/>
    <xf numFmtId="0" fontId="4" fillId="0" borderId="0" xfId="1" applyFont="1"/>
    <xf numFmtId="0" fontId="2" fillId="0" borderId="2" xfId="1" applyFont="1" applyBorder="1"/>
    <xf numFmtId="49" fontId="0" fillId="0" borderId="0" xfId="1" applyNumberFormat="1" applyFont="1"/>
    <xf numFmtId="49" fontId="0" fillId="0" borderId="0" xfId="0" applyNumberFormat="1" applyFont="1"/>
    <xf numFmtId="0" fontId="5" fillId="0" borderId="0" xfId="1" applyFont="1"/>
    <xf numFmtId="0" fontId="5" fillId="0" borderId="1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microsoft.com/office/2017/10/relationships/person" Target="persons/person2.xml"/><Relationship Id="rId18" Type="http://schemas.microsoft.com/office/2017/10/relationships/person" Target="persons/person4.xml"/><Relationship Id="rId26" Type="http://schemas.microsoft.com/office/2017/10/relationships/person" Target="persons/person15.xml"/><Relationship Id="rId3" Type="http://schemas.openxmlformats.org/officeDocument/2006/relationships/worksheet" Target="worksheets/sheet3.xml"/><Relationship Id="rId21" Type="http://schemas.microsoft.com/office/2017/10/relationships/person" Target="persons/person10.xml"/><Relationship Id="rId7" Type="http://schemas.openxmlformats.org/officeDocument/2006/relationships/sharedStrings" Target="sharedStrings.xml"/><Relationship Id="rId12" Type="http://schemas.microsoft.com/office/2017/10/relationships/person" Target="persons/person1.xml"/><Relationship Id="rId17" Type="http://schemas.microsoft.com/office/2017/10/relationships/person" Target="persons/person6.xml"/><Relationship Id="rId25" Type="http://schemas.microsoft.com/office/2017/10/relationships/person" Target="persons/person14.xml"/><Relationship Id="rId2" Type="http://schemas.openxmlformats.org/officeDocument/2006/relationships/worksheet" Target="worksheets/sheet2.xml"/><Relationship Id="rId16" Type="http://schemas.microsoft.com/office/2017/10/relationships/person" Target="persons/person5.xml"/><Relationship Id="rId20" Type="http://schemas.microsoft.com/office/2017/10/relationships/person" Target="persons/person7.xml"/><Relationship Id="rId29" Type="http://schemas.microsoft.com/office/2017/10/relationships/person" Target="persons/person18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0.xml"/><Relationship Id="rId24" Type="http://schemas.microsoft.com/office/2017/10/relationships/person" Target="persons/person13.xml"/><Relationship Id="rId32" Type="http://schemas.microsoft.com/office/2017/10/relationships/person" Target="persons/person21.xml"/><Relationship Id="rId5" Type="http://schemas.openxmlformats.org/officeDocument/2006/relationships/theme" Target="theme/theme1.xml"/><Relationship Id="rId15" Type="http://schemas.microsoft.com/office/2017/10/relationships/person" Target="persons/person3.xml"/><Relationship Id="rId23" Type="http://schemas.microsoft.com/office/2017/10/relationships/person" Target="persons/person11.xml"/><Relationship Id="rId28" Type="http://schemas.microsoft.com/office/2017/10/relationships/person" Target="persons/person16.xml"/><Relationship Id="rId10" Type="http://schemas.microsoft.com/office/2017/10/relationships/person" Target="persons/person22.xml"/><Relationship Id="rId19" Type="http://schemas.microsoft.com/office/2017/10/relationships/person" Target="persons/person9.xml"/><Relationship Id="rId31" Type="http://schemas.microsoft.com/office/2017/10/relationships/person" Target="persons/person19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30" Type="http://schemas.microsoft.com/office/2017/10/relationships/person" Target="persons/person20.xml"/><Relationship Id="rId27" Type="http://schemas.microsoft.com/office/2017/10/relationships/person" Target="persons/person17.xml"/><Relationship Id="rId22" Type="http://schemas.microsoft.com/office/2017/10/relationships/person" Target="persons/person12.xml"/><Relationship Id="rId14" Type="http://schemas.microsoft.com/office/2017/10/relationships/person" Target="persons/person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20032-C6AE-47E2-A9DF-4E7CA617D6F5}">
  <dimension ref="A1:CC68"/>
  <sheetViews>
    <sheetView zoomScale="70" zoomScaleNormal="70" workbookViewId="0">
      <selection activeCell="A2" sqref="A2:A29"/>
    </sheetView>
  </sheetViews>
  <sheetFormatPr defaultRowHeight="15" x14ac:dyDescent="0.25"/>
  <cols>
    <col min="2" max="2" width="6.140625" bestFit="1" customWidth="1"/>
    <col min="3" max="3" width="4.5703125" bestFit="1" customWidth="1"/>
    <col min="4" max="4" width="5.7109375" bestFit="1" customWidth="1"/>
    <col min="5" max="5" width="6" bestFit="1" customWidth="1"/>
    <col min="6" max="6" width="4.7109375" bestFit="1" customWidth="1"/>
    <col min="7" max="7" width="10.42578125" bestFit="1" customWidth="1"/>
    <col min="8" max="8" width="4.7109375" bestFit="1" customWidth="1"/>
    <col min="9" max="9" width="9.140625" bestFit="1" customWidth="1"/>
    <col min="10" max="10" width="6.7109375" bestFit="1" customWidth="1"/>
    <col min="11" max="11" width="4.85546875" bestFit="1" customWidth="1"/>
    <col min="12" max="12" width="7.5703125" bestFit="1" customWidth="1"/>
    <col min="13" max="13" width="6.5703125" bestFit="1" customWidth="1"/>
    <col min="14" max="14" width="6.140625" bestFit="1" customWidth="1"/>
    <col min="15" max="15" width="8.7109375" bestFit="1" customWidth="1"/>
    <col min="16" max="16" width="5.28515625" bestFit="1" customWidth="1"/>
    <col min="17" max="17" width="5.42578125" bestFit="1" customWidth="1"/>
    <col min="18" max="18" width="4.5703125" bestFit="1" customWidth="1"/>
    <col min="19" max="19" width="8.42578125" bestFit="1" customWidth="1"/>
    <col min="20" max="20" width="6.28515625" bestFit="1" customWidth="1"/>
    <col min="21" max="21" width="5.140625" bestFit="1" customWidth="1"/>
    <col min="22" max="22" width="6.7109375" bestFit="1" customWidth="1"/>
    <col min="23" max="23" width="6.28515625" bestFit="1" customWidth="1"/>
    <col min="24" max="24" width="11.42578125" bestFit="1" customWidth="1"/>
    <col min="25" max="25" width="7.42578125" customWidth="1"/>
    <col min="26" max="26" width="9.140625" bestFit="1" customWidth="1"/>
    <col min="27" max="27" width="4.5703125" bestFit="1" customWidth="1"/>
    <col min="28" max="28" width="10.85546875" bestFit="1" customWidth="1"/>
    <col min="29" max="29" width="7.28515625" bestFit="1" customWidth="1"/>
    <col min="30" max="30" width="8" bestFit="1" customWidth="1"/>
    <col min="31" max="32" width="7.7109375" bestFit="1" customWidth="1"/>
    <col min="33" max="33" width="4.85546875" bestFit="1" customWidth="1"/>
    <col min="34" max="34" width="7" bestFit="1" customWidth="1"/>
    <col min="35" max="35" width="8.7109375" bestFit="1" customWidth="1"/>
    <col min="36" max="36" width="9.42578125" bestFit="1" customWidth="1"/>
    <col min="37" max="37" width="9" customWidth="1"/>
    <col min="38" max="38" width="8.28515625" customWidth="1"/>
    <col min="39" max="39" width="9.5703125" customWidth="1"/>
    <col min="40" max="40" width="7.140625" customWidth="1"/>
    <col min="41" max="41" width="8.140625" customWidth="1"/>
    <col min="42" max="42" width="7" customWidth="1"/>
    <col min="43" max="43" width="11.28515625" customWidth="1"/>
    <col min="44" max="44" width="8.85546875" customWidth="1"/>
    <col min="45" max="45" width="8.28515625" customWidth="1"/>
    <col min="46" max="46" width="5.85546875" customWidth="1"/>
    <col min="47" max="47" width="8.28515625" customWidth="1"/>
    <col min="48" max="48" width="8" customWidth="1"/>
    <col min="49" max="49" width="7.28515625" customWidth="1"/>
    <col min="50" max="50" width="6.7109375" customWidth="1"/>
    <col min="51" max="51" width="8.85546875" customWidth="1"/>
    <col min="52" max="52" width="7.28515625" customWidth="1"/>
    <col min="53" max="53" width="5.5703125" customWidth="1"/>
    <col min="54" max="54" width="5.85546875" customWidth="1"/>
    <col min="55" max="55" width="6.140625" customWidth="1"/>
    <col min="56" max="56" width="9.5703125" customWidth="1"/>
    <col min="57" max="57" width="5.85546875" customWidth="1"/>
    <col min="58" max="58" width="5.5703125" customWidth="1"/>
    <col min="59" max="59" width="5.28515625" customWidth="1"/>
    <col min="60" max="61" width="6.7109375" customWidth="1"/>
    <col min="62" max="62" width="6.85546875" customWidth="1"/>
    <col min="63" max="63" width="8.7109375" customWidth="1"/>
    <col min="64" max="64" width="5.28515625" customWidth="1"/>
    <col min="65" max="65" width="5" customWidth="1"/>
    <col min="66" max="66" width="4.5703125" customWidth="1"/>
    <col min="67" max="67" width="5.28515625" customWidth="1"/>
    <col min="68" max="68" width="5.42578125" customWidth="1"/>
    <col min="69" max="69" width="5" customWidth="1"/>
    <col min="70" max="71" width="5.85546875" customWidth="1"/>
    <col min="72" max="72" width="5.5703125" customWidth="1"/>
    <col min="73" max="73" width="5.85546875" customWidth="1"/>
    <col min="74" max="74" width="8.28515625" customWidth="1"/>
    <col min="75" max="75" width="5.28515625" customWidth="1"/>
    <col min="76" max="76" width="5.5703125" customWidth="1"/>
    <col min="77" max="77" width="5.28515625" customWidth="1"/>
    <col min="78" max="78" width="5.5703125" customWidth="1"/>
    <col min="79" max="79" width="3.42578125" customWidth="1"/>
    <col min="80" max="80" width="6.5703125" customWidth="1"/>
    <col min="81" max="81" width="10.42578125" customWidth="1"/>
  </cols>
  <sheetData>
    <row r="1" spans="1:81" ht="15.75" x14ac:dyDescent="0.25">
      <c r="A1" s="1"/>
      <c r="B1" s="4" t="s">
        <v>298</v>
      </c>
      <c r="C1" s="4" t="s">
        <v>299</v>
      </c>
      <c r="D1" s="4" t="s">
        <v>300</v>
      </c>
      <c r="E1" s="4" t="s">
        <v>301</v>
      </c>
      <c r="F1" s="4" t="s">
        <v>302</v>
      </c>
      <c r="G1" s="4" t="s">
        <v>303</v>
      </c>
      <c r="H1" s="4" t="s">
        <v>304</v>
      </c>
      <c r="I1" s="4" t="s">
        <v>305</v>
      </c>
      <c r="J1" s="4" t="s">
        <v>306</v>
      </c>
      <c r="K1" s="4" t="s">
        <v>307</v>
      </c>
      <c r="L1" s="4" t="s">
        <v>308</v>
      </c>
      <c r="M1" s="4" t="s">
        <v>309</v>
      </c>
      <c r="N1" s="4" t="s">
        <v>310</v>
      </c>
      <c r="O1" s="4" t="s">
        <v>311</v>
      </c>
      <c r="P1" s="4" t="s">
        <v>312</v>
      </c>
      <c r="Q1" s="4" t="s">
        <v>313</v>
      </c>
      <c r="R1" s="4" t="s">
        <v>314</v>
      </c>
      <c r="S1" s="4" t="s">
        <v>315</v>
      </c>
      <c r="T1" s="4" t="s">
        <v>316</v>
      </c>
      <c r="U1" s="4" t="s">
        <v>317</v>
      </c>
      <c r="V1" s="4" t="s">
        <v>318</v>
      </c>
      <c r="W1" s="4" t="s">
        <v>319</v>
      </c>
      <c r="X1" s="4" t="s">
        <v>320</v>
      </c>
      <c r="Y1" s="4" t="s">
        <v>321</v>
      </c>
      <c r="Z1" s="4" t="s">
        <v>322</v>
      </c>
      <c r="AA1" s="4" t="s">
        <v>323</v>
      </c>
      <c r="AB1" s="4" t="s">
        <v>324</v>
      </c>
      <c r="AC1" s="4" t="s">
        <v>325</v>
      </c>
      <c r="AD1" s="4" t="s">
        <v>326</v>
      </c>
      <c r="AE1" s="4" t="s">
        <v>327</v>
      </c>
      <c r="AF1" s="4" t="s">
        <v>328</v>
      </c>
      <c r="AG1" s="4" t="s">
        <v>329</v>
      </c>
      <c r="AH1" s="4" t="s">
        <v>330</v>
      </c>
      <c r="AI1" s="4" t="s">
        <v>331</v>
      </c>
      <c r="AJ1" s="2" t="s">
        <v>332</v>
      </c>
      <c r="AK1" s="2" t="s">
        <v>333</v>
      </c>
      <c r="AL1" t="s">
        <v>334</v>
      </c>
      <c r="AM1" t="s">
        <v>335</v>
      </c>
      <c r="AN1" t="s">
        <v>336</v>
      </c>
      <c r="AO1" t="s">
        <v>337</v>
      </c>
      <c r="AP1" t="s">
        <v>338</v>
      </c>
      <c r="AQ1" t="s">
        <v>339</v>
      </c>
      <c r="AR1" t="s">
        <v>340</v>
      </c>
      <c r="AS1" t="s">
        <v>341</v>
      </c>
      <c r="AT1" t="s">
        <v>342</v>
      </c>
      <c r="AU1" t="s">
        <v>343</v>
      </c>
      <c r="AV1" t="s">
        <v>344</v>
      </c>
      <c r="AW1" t="s">
        <v>345</v>
      </c>
      <c r="AX1" t="s">
        <v>346</v>
      </c>
      <c r="AY1" t="s">
        <v>347</v>
      </c>
      <c r="AZ1" t="s">
        <v>348</v>
      </c>
      <c r="BA1" t="s">
        <v>349</v>
      </c>
      <c r="BB1" t="s">
        <v>350</v>
      </c>
      <c r="BC1" t="s">
        <v>351</v>
      </c>
      <c r="BD1" t="s">
        <v>352</v>
      </c>
      <c r="BE1" t="s">
        <v>353</v>
      </c>
      <c r="BF1" t="s">
        <v>354</v>
      </c>
      <c r="BG1" t="s">
        <v>355</v>
      </c>
      <c r="BH1" t="s">
        <v>356</v>
      </c>
      <c r="BI1" t="s">
        <v>357</v>
      </c>
      <c r="BJ1" t="s">
        <v>358</v>
      </c>
      <c r="BK1" t="s">
        <v>359</v>
      </c>
      <c r="BL1" t="s">
        <v>360</v>
      </c>
      <c r="BM1" t="s">
        <v>361</v>
      </c>
      <c r="BN1" t="s">
        <v>362</v>
      </c>
      <c r="BO1" t="s">
        <v>363</v>
      </c>
      <c r="BP1" t="s">
        <v>364</v>
      </c>
      <c r="BQ1" t="s">
        <v>365</v>
      </c>
      <c r="BR1" t="s">
        <v>366</v>
      </c>
      <c r="BS1" t="s">
        <v>367</v>
      </c>
      <c r="BT1" t="s">
        <v>368</v>
      </c>
      <c r="BU1" t="s">
        <v>369</v>
      </c>
      <c r="BV1" t="s">
        <v>370</v>
      </c>
      <c r="BW1" t="s">
        <v>371</v>
      </c>
      <c r="BX1" t="s">
        <v>372</v>
      </c>
      <c r="BY1" t="s">
        <v>373</v>
      </c>
      <c r="BZ1" t="s">
        <v>374</v>
      </c>
      <c r="CA1" t="s">
        <v>375</v>
      </c>
      <c r="CB1" t="s">
        <v>376</v>
      </c>
      <c r="CC1" t="s">
        <v>377</v>
      </c>
    </row>
    <row r="2" spans="1:81" ht="15.75" x14ac:dyDescent="0.25">
      <c r="A2" s="11" t="str">
        <f>Eqs_Formated!A2</f>
        <v>ACCOA[c]</v>
      </c>
      <c r="B2" s="1">
        <v>1</v>
      </c>
      <c r="C2">
        <v>-1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8</v>
      </c>
      <c r="AC2">
        <v>1</v>
      </c>
      <c r="AD2">
        <v>3</v>
      </c>
      <c r="AE2">
        <v>2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 ht="15.75" x14ac:dyDescent="0.25">
      <c r="A3" s="11" t="str">
        <f>Eqs_Formated!A3</f>
        <v>ADP[c]</v>
      </c>
      <c r="B3" s="1">
        <v>0</v>
      </c>
      <c r="C3">
        <v>0</v>
      </c>
      <c r="D3">
        <v>1</v>
      </c>
      <c r="E3">
        <v>-1</v>
      </c>
      <c r="F3">
        <v>-1</v>
      </c>
      <c r="G3">
        <v>-1</v>
      </c>
      <c r="H3">
        <v>1</v>
      </c>
      <c r="I3">
        <v>1</v>
      </c>
      <c r="J3">
        <v>-5</v>
      </c>
      <c r="K3">
        <v>2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0.5</v>
      </c>
      <c r="AD3">
        <v>0.5</v>
      </c>
      <c r="AE3">
        <v>-1.5</v>
      </c>
      <c r="AF3">
        <v>0</v>
      </c>
      <c r="AG3">
        <v>1</v>
      </c>
      <c r="AH3">
        <v>-1</v>
      </c>
      <c r="AI3">
        <v>2</v>
      </c>
      <c r="AJ3">
        <v>1</v>
      </c>
      <c r="AK3">
        <v>0.5</v>
      </c>
      <c r="AL3">
        <v>4</v>
      </c>
      <c r="AM3">
        <v>-1.5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3980</v>
      </c>
      <c r="CC3">
        <v>29.83</v>
      </c>
    </row>
    <row r="4" spans="1:81" ht="15.75" x14ac:dyDescent="0.25">
      <c r="A4" s="11" t="str">
        <f>Eqs_Formated!A4</f>
        <v>AKG[c]</v>
      </c>
      <c r="B4" s="1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-1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-7</v>
      </c>
      <c r="AC4">
        <v>-1</v>
      </c>
      <c r="AD4">
        <v>-1</v>
      </c>
      <c r="AE4">
        <v>-2</v>
      </c>
      <c r="AF4">
        <v>0</v>
      </c>
      <c r="AG4">
        <v>0</v>
      </c>
      <c r="AH4">
        <v>0</v>
      </c>
      <c r="AI4">
        <v>0</v>
      </c>
      <c r="AJ4">
        <v>0</v>
      </c>
      <c r="AK4">
        <v>-1</v>
      </c>
      <c r="AL4">
        <v>1</v>
      </c>
      <c r="AM4">
        <v>0</v>
      </c>
      <c r="AN4">
        <v>1</v>
      </c>
      <c r="AO4">
        <v>1</v>
      </c>
      <c r="AP4">
        <v>-1</v>
      </c>
      <c r="AQ4">
        <v>-1</v>
      </c>
      <c r="AR4">
        <v>-1</v>
      </c>
      <c r="AS4">
        <v>-1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 ht="15.75" x14ac:dyDescent="0.25">
      <c r="A5" s="11" t="str">
        <f>Eqs_Formated!A5</f>
        <v>AMP[c]</v>
      </c>
      <c r="B5" s="1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-1</v>
      </c>
      <c r="L5">
        <v>0</v>
      </c>
      <c r="M5">
        <v>-1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 ht="15.75" x14ac:dyDescent="0.25">
      <c r="A6" s="11" t="str">
        <f>Eqs_Formated!A6</f>
        <v>ATP[c]</v>
      </c>
      <c r="B6" s="1">
        <v>0</v>
      </c>
      <c r="C6">
        <v>0</v>
      </c>
      <c r="D6">
        <v>-1</v>
      </c>
      <c r="E6">
        <v>1</v>
      </c>
      <c r="F6">
        <v>1</v>
      </c>
      <c r="G6">
        <v>1</v>
      </c>
      <c r="H6">
        <v>-1</v>
      </c>
      <c r="I6">
        <v>-1</v>
      </c>
      <c r="J6">
        <v>5</v>
      </c>
      <c r="K6">
        <v>-1</v>
      </c>
      <c r="L6">
        <v>-1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-1</v>
      </c>
      <c r="AC6">
        <v>-0.5</v>
      </c>
      <c r="AD6">
        <v>-0.5</v>
      </c>
      <c r="AE6">
        <v>1.5</v>
      </c>
      <c r="AF6">
        <v>0</v>
      </c>
      <c r="AG6">
        <v>-1</v>
      </c>
      <c r="AH6">
        <v>1</v>
      </c>
      <c r="AI6">
        <v>-2</v>
      </c>
      <c r="AJ6">
        <v>-1</v>
      </c>
      <c r="AK6">
        <v>-0.5</v>
      </c>
      <c r="AL6">
        <v>-4</v>
      </c>
      <c r="AM6">
        <v>1.5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-3980</v>
      </c>
      <c r="CC6">
        <v>-29.83</v>
      </c>
    </row>
    <row r="7" spans="1:81" ht="15.75" x14ac:dyDescent="0.25">
      <c r="A7" s="11" t="str">
        <f>Eqs_Formated!A7</f>
        <v>CIT[c]</v>
      </c>
      <c r="B7" s="1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-0.4</v>
      </c>
    </row>
    <row r="8" spans="1:81" ht="15.75" x14ac:dyDescent="0.25">
      <c r="A8" s="11" t="str">
        <f>Eqs_Formated!A8</f>
        <v>F6P[c]</v>
      </c>
      <c r="B8" s="1">
        <v>0</v>
      </c>
      <c r="C8">
        <v>0</v>
      </c>
      <c r="D8">
        <v>-1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 ht="15.75" x14ac:dyDescent="0.25">
      <c r="A9" s="11" t="str">
        <f>Eqs_Formated!A9</f>
        <v>G6P[c]</v>
      </c>
      <c r="B9" s="1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-1</v>
      </c>
      <c r="R9">
        <v>0</v>
      </c>
      <c r="S9">
        <v>-1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-2.5499999999999998E-2</v>
      </c>
    </row>
    <row r="10" spans="1:81" ht="15.75" x14ac:dyDescent="0.25">
      <c r="A10" s="11" t="str">
        <f>Eqs_Formated!A10</f>
        <v>GAP[c]</v>
      </c>
      <c r="B10" s="1">
        <v>0</v>
      </c>
      <c r="C10">
        <v>0</v>
      </c>
      <c r="D10">
        <v>2</v>
      </c>
      <c r="E10">
        <v>-1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 ht="15.75" x14ac:dyDescent="0.25">
      <c r="A11" s="11" t="str">
        <f>Eqs_Formated!A29</f>
        <v>GLU[c]</v>
      </c>
      <c r="B11" s="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</v>
      </c>
      <c r="U11">
        <v>-1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 ht="15.75" x14ac:dyDescent="0.25">
      <c r="A12" s="11" t="str">
        <f>Eqs_Formated!A11</f>
        <v>MAL[c]</v>
      </c>
      <c r="B12" s="1">
        <v>-1</v>
      </c>
      <c r="C12">
        <v>0</v>
      </c>
      <c r="D12">
        <v>0</v>
      </c>
      <c r="E12">
        <v>-1</v>
      </c>
      <c r="F12">
        <v>0</v>
      </c>
      <c r="G12">
        <v>-0.66666669999999995</v>
      </c>
      <c r="H12">
        <v>0</v>
      </c>
      <c r="I12">
        <v>0</v>
      </c>
      <c r="J12">
        <v>2</v>
      </c>
      <c r="K12">
        <v>0</v>
      </c>
      <c r="L12">
        <v>0</v>
      </c>
      <c r="M12">
        <v>0</v>
      </c>
      <c r="N12">
        <v>-1</v>
      </c>
      <c r="O12">
        <v>-1</v>
      </c>
      <c r="P12">
        <v>0</v>
      </c>
      <c r="Q12">
        <v>0</v>
      </c>
      <c r="R12">
        <v>0</v>
      </c>
      <c r="S12">
        <v>0</v>
      </c>
      <c r="T12">
        <v>-1</v>
      </c>
      <c r="U12">
        <v>-1</v>
      </c>
      <c r="V12">
        <v>2</v>
      </c>
      <c r="W12">
        <v>1</v>
      </c>
      <c r="X12">
        <v>0</v>
      </c>
      <c r="Y12">
        <v>0</v>
      </c>
      <c r="Z12">
        <v>0</v>
      </c>
      <c r="AA12">
        <v>0</v>
      </c>
      <c r="AB12">
        <v>-9</v>
      </c>
      <c r="AC12">
        <v>-1</v>
      </c>
      <c r="AD12">
        <v>-1</v>
      </c>
      <c r="AE12">
        <v>-4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-3</v>
      </c>
      <c r="AL12">
        <v>-1</v>
      </c>
      <c r="AM12">
        <v>-1</v>
      </c>
      <c r="AN12">
        <v>-1</v>
      </c>
      <c r="AO12">
        <v>0</v>
      </c>
      <c r="AP12">
        <v>0</v>
      </c>
      <c r="AQ12">
        <v>0</v>
      </c>
      <c r="AR12">
        <v>0</v>
      </c>
      <c r="AS12">
        <v>-1</v>
      </c>
      <c r="AT12">
        <v>1</v>
      </c>
      <c r="AU12">
        <v>-2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 ht="15.75" x14ac:dyDescent="0.25">
      <c r="A13" s="11" t="str">
        <f>Eqs_Formated!A12</f>
        <v>NAD[c]</v>
      </c>
      <c r="B13" s="1">
        <v>1</v>
      </c>
      <c r="C13">
        <v>0</v>
      </c>
      <c r="D13">
        <v>0</v>
      </c>
      <c r="E13">
        <v>1</v>
      </c>
      <c r="F13">
        <v>0</v>
      </c>
      <c r="G13">
        <v>0.66666669999999995</v>
      </c>
      <c r="H13">
        <v>0</v>
      </c>
      <c r="I13">
        <v>0</v>
      </c>
      <c r="J13">
        <v>-2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-2</v>
      </c>
      <c r="W13">
        <v>0</v>
      </c>
      <c r="X13">
        <v>0</v>
      </c>
      <c r="Y13">
        <v>0</v>
      </c>
      <c r="Z13">
        <v>0</v>
      </c>
      <c r="AA13">
        <v>0</v>
      </c>
      <c r="AB13">
        <v>9</v>
      </c>
      <c r="AC13">
        <v>1</v>
      </c>
      <c r="AD13">
        <v>1</v>
      </c>
      <c r="AE13">
        <v>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</v>
      </c>
      <c r="AL13">
        <v>1</v>
      </c>
      <c r="AM13">
        <v>1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-1</v>
      </c>
      <c r="AU13">
        <v>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 ht="15.75" x14ac:dyDescent="0.25">
      <c r="A14" s="11" t="str">
        <f>Eqs_Formated!A13</f>
        <v>NADH[c]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-2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-2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 ht="15.75" x14ac:dyDescent="0.25">
      <c r="A15" s="11" t="str">
        <f>Eqs_Formated!A14</f>
        <v>NADP[c]</v>
      </c>
      <c r="B15" s="1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>
        <v>0</v>
      </c>
      <c r="V15">
        <v>0</v>
      </c>
      <c r="W15">
        <v>0</v>
      </c>
      <c r="X15">
        <v>-1</v>
      </c>
      <c r="Y15">
        <v>0</v>
      </c>
      <c r="Z15">
        <v>0</v>
      </c>
      <c r="AA15">
        <v>0</v>
      </c>
      <c r="AB15">
        <v>2</v>
      </c>
      <c r="AC15">
        <v>0</v>
      </c>
      <c r="AD15">
        <v>0</v>
      </c>
      <c r="AE15">
        <v>-1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ht="15.75" x14ac:dyDescent="0.25">
      <c r="A16" s="11" t="str">
        <f>Eqs_Formated!A15</f>
        <v>NADPH[c]</v>
      </c>
      <c r="B16" s="1">
        <v>0</v>
      </c>
      <c r="C16">
        <v>-1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ht="15.75" x14ac:dyDescent="0.25">
      <c r="A17" s="11" t="str">
        <f>Eqs_Formated!A16</f>
        <v>OXA[c]</v>
      </c>
      <c r="B17" s="1">
        <v>0</v>
      </c>
      <c r="C17">
        <v>0</v>
      </c>
      <c r="D17">
        <v>0</v>
      </c>
      <c r="E17">
        <v>1</v>
      </c>
      <c r="F17">
        <v>-1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 ht="15.75" x14ac:dyDescent="0.25">
      <c r="A18" s="11" t="str">
        <f>Eqs_Formated!A17</f>
        <v>PEP[c]</v>
      </c>
      <c r="B18" s="1">
        <v>-1</v>
      </c>
      <c r="C18">
        <v>0</v>
      </c>
      <c r="D18">
        <v>0</v>
      </c>
      <c r="E18">
        <v>0</v>
      </c>
      <c r="F18">
        <v>1</v>
      </c>
      <c r="G18">
        <v>0</v>
      </c>
      <c r="H18">
        <v>-1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-1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-1</v>
      </c>
      <c r="AP18">
        <v>0</v>
      </c>
      <c r="AQ18">
        <v>0</v>
      </c>
      <c r="AR18">
        <v>1</v>
      </c>
      <c r="AS18">
        <v>0</v>
      </c>
      <c r="AT18">
        <v>-1</v>
      </c>
      <c r="AU18">
        <v>0</v>
      </c>
      <c r="AV18">
        <v>0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 ht="15.75" x14ac:dyDescent="0.25">
      <c r="A19" s="11" t="str">
        <f>Eqs_Formated!A18</f>
        <v>PYR[c]</v>
      </c>
      <c r="B19" s="1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-1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-0.6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-0.12189999999999999</v>
      </c>
    </row>
    <row r="20" spans="1:81" ht="15.75" x14ac:dyDescent="0.25">
      <c r="A20" s="11" t="str">
        <f>Eqs_Formated!A19</f>
        <v>R5P[c]</v>
      </c>
      <c r="B20" s="1">
        <v>0</v>
      </c>
      <c r="C20">
        <v>0</v>
      </c>
      <c r="D20">
        <v>0</v>
      </c>
      <c r="E20">
        <v>0</v>
      </c>
      <c r="F20">
        <v>0</v>
      </c>
      <c r="G20">
        <v>-1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 ht="15.75" x14ac:dyDescent="0.25">
      <c r="A21" s="11" t="str">
        <f>Eqs_Formated!A20</f>
        <v>SUC[c]</v>
      </c>
      <c r="B21" s="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-2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 ht="15.75" x14ac:dyDescent="0.25">
      <c r="A22" s="11" t="str">
        <f>Eqs_Formated!A21</f>
        <v>X5P[c]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-78</v>
      </c>
      <c r="CC22">
        <v>-0.44900000000000001</v>
      </c>
    </row>
    <row r="23" spans="1:81" ht="15.75" x14ac:dyDescent="0.25">
      <c r="A23" s="11" t="str">
        <f>Eqs_Formated!A22</f>
        <v>Ala[c]</v>
      </c>
      <c r="B23" s="6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s="5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-1</v>
      </c>
      <c r="AR23">
        <v>0</v>
      </c>
      <c r="AS23">
        <v>-1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-28</v>
      </c>
      <c r="CC23">
        <v>-0.247</v>
      </c>
    </row>
    <row r="24" spans="1:81" ht="15.75" x14ac:dyDescent="0.25">
      <c r="A24" s="11" t="str">
        <f>Eqs_Formated!A23</f>
        <v>Arg[c]</v>
      </c>
      <c r="B24" s="6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-1</v>
      </c>
      <c r="BD24">
        <v>-1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-52</v>
      </c>
      <c r="CC24">
        <v>-0.20899999999999999</v>
      </c>
    </row>
    <row r="25" spans="1:81" ht="15.75" x14ac:dyDescent="0.25">
      <c r="A25" s="11" t="str">
        <f>Eqs_Formated!A24</f>
        <v>Asn[c]</v>
      </c>
      <c r="B25" s="6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-2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-1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-1</v>
      </c>
      <c r="BA25">
        <v>0</v>
      </c>
      <c r="BB25">
        <v>0</v>
      </c>
      <c r="BC25">
        <v>1</v>
      </c>
      <c r="BD25">
        <v>1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-46</v>
      </c>
      <c r="CC25">
        <v>-0.25800000000000001</v>
      </c>
    </row>
    <row r="26" spans="1:81" ht="15.75" x14ac:dyDescent="0.25">
      <c r="A26" s="11" t="str">
        <f>Eqs_Formated!A25</f>
        <v>Asp[c]</v>
      </c>
      <c r="B26" s="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-1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-32</v>
      </c>
      <c r="CC26">
        <v>-8.3000000000000004E-2</v>
      </c>
    </row>
    <row r="27" spans="1:81" ht="15.75" x14ac:dyDescent="0.25">
      <c r="A27" s="11" t="str">
        <f>Eqs_Formated!A26</f>
        <v>Cys[c]</v>
      </c>
      <c r="B27" s="6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-1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 ht="15.75" x14ac:dyDescent="0.25">
      <c r="A28" s="11" t="str">
        <f>Eqs_Formated!A27</f>
        <v>Glc[c]</v>
      </c>
      <c r="B28" s="6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-1</v>
      </c>
      <c r="AI28">
        <v>-2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-60</v>
      </c>
      <c r="CC28">
        <v>-0.35299999999999998</v>
      </c>
    </row>
    <row r="29" spans="1:81" ht="15.75" x14ac:dyDescent="0.25">
      <c r="A29" s="11" t="str">
        <f>Eqs_Formated!A28</f>
        <v>Gln[c]</v>
      </c>
      <c r="B29" s="6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4</v>
      </c>
      <c r="AC29">
        <v>1</v>
      </c>
      <c r="AD29">
        <v>1</v>
      </c>
      <c r="AE29">
        <v>2</v>
      </c>
      <c r="AF29">
        <v>1</v>
      </c>
      <c r="AG29">
        <v>0</v>
      </c>
      <c r="AH29">
        <v>1</v>
      </c>
      <c r="AI29">
        <v>0</v>
      </c>
      <c r="AJ29">
        <v>1</v>
      </c>
      <c r="AK29">
        <v>1</v>
      </c>
      <c r="AL29">
        <v>0</v>
      </c>
      <c r="AM29">
        <v>0</v>
      </c>
      <c r="AN29">
        <v>-1</v>
      </c>
      <c r="AO29">
        <v>-1</v>
      </c>
      <c r="AP29">
        <v>1</v>
      </c>
      <c r="AQ29">
        <v>4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-62</v>
      </c>
      <c r="CC29">
        <v>-0.30299999999999999</v>
      </c>
    </row>
    <row r="30" spans="1:81" ht="15.75" x14ac:dyDescent="0.25">
      <c r="A30" s="11" t="str">
        <f>Eqs_Formated!A53</f>
        <v>Glu[e]</v>
      </c>
      <c r="B30" s="6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</v>
      </c>
      <c r="AJ30">
        <v>-1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-88</v>
      </c>
      <c r="CC30">
        <v>-0.47699999999999998</v>
      </c>
    </row>
    <row r="31" spans="1:81" ht="15.75" x14ac:dyDescent="0.25">
      <c r="A31" s="11" t="str">
        <f>Eqs_Formated!A46</f>
        <v>Pyr[e]</v>
      </c>
      <c r="B31" s="6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-1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-1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-26</v>
      </c>
      <c r="CC31">
        <v>-2.0799999999999999E-2</v>
      </c>
    </row>
    <row r="32" spans="1:81" ht="15.75" x14ac:dyDescent="0.25">
      <c r="A32" s="11" t="str">
        <f>Eqs_Formated!A30</f>
        <v>Gly[c]</v>
      </c>
      <c r="B32" s="6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-1</v>
      </c>
      <c r="AC32">
        <v>-1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-28</v>
      </c>
      <c r="CC32">
        <v>-0.22</v>
      </c>
    </row>
    <row r="33" spans="1:81" ht="15.75" x14ac:dyDescent="0.25">
      <c r="A33" s="11" t="str">
        <f>Eqs_Formated!A31</f>
        <v>His[c]</v>
      </c>
      <c r="B33" s="6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 ht="15.75" x14ac:dyDescent="0.25">
      <c r="A34" s="11" t="str">
        <f>Eqs_Formated!A32</f>
        <v>Ile[c]</v>
      </c>
      <c r="B34" s="6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-1</v>
      </c>
      <c r="AC34">
        <v>0</v>
      </c>
      <c r="AD34">
        <v>-1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-90</v>
      </c>
      <c r="CC34">
        <v>-0.42699999999999999</v>
      </c>
    </row>
    <row r="35" spans="1:81" ht="15.75" x14ac:dyDescent="0.25">
      <c r="A35" s="11" t="str">
        <f>Eqs_Formated!A33</f>
        <v>Lac[c]</v>
      </c>
      <c r="B35" s="6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-98</v>
      </c>
      <c r="CC35">
        <v>-0.38800000000000001</v>
      </c>
    </row>
    <row r="36" spans="1:81" ht="15.75" x14ac:dyDescent="0.25">
      <c r="A36" s="11" t="str">
        <f>Eqs_Formated!A34</f>
        <v>Leu[c]</v>
      </c>
      <c r="B36" s="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-1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-12</v>
      </c>
      <c r="CC36">
        <v>-0.106</v>
      </c>
    </row>
    <row r="37" spans="1:81" ht="15.75" x14ac:dyDescent="0.25">
      <c r="A37" s="11" t="str">
        <f>Eqs_Formated!A35</f>
        <v>Lys[c]</v>
      </c>
      <c r="B37" s="6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2</v>
      </c>
      <c r="AK37">
        <v>0</v>
      </c>
      <c r="AL37">
        <v>1</v>
      </c>
      <c r="AM37">
        <v>1</v>
      </c>
      <c r="AN37">
        <v>1</v>
      </c>
      <c r="AO37">
        <v>0</v>
      </c>
      <c r="AP37">
        <v>0</v>
      </c>
      <c r="AQ37">
        <v>1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1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 ht="15.75" x14ac:dyDescent="0.25">
      <c r="A38" s="11" t="str">
        <f>Eqs_Formated!A36</f>
        <v>Met[c]</v>
      </c>
      <c r="B38" s="6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-40</v>
      </c>
      <c r="CC38">
        <v>-0.187</v>
      </c>
    </row>
    <row r="39" spans="1:81" ht="15.75" x14ac:dyDescent="0.25">
      <c r="A39" s="11" t="str">
        <f>Eqs_Formated!A37</f>
        <v>Nh4[c]</v>
      </c>
      <c r="B39" s="6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-1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-96</v>
      </c>
      <c r="CC39">
        <v>-0.222</v>
      </c>
    </row>
    <row r="40" spans="1:81" ht="15.75" x14ac:dyDescent="0.25">
      <c r="A40" s="11" t="str">
        <f>Eqs_Formated!A38</f>
        <v>Phe[c]</v>
      </c>
      <c r="B40" s="6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-1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-1</v>
      </c>
      <c r="AX40">
        <v>0</v>
      </c>
      <c r="AY40">
        <v>-1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-1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-176</v>
      </c>
      <c r="CC40">
        <v>-0.32300000000000001</v>
      </c>
    </row>
    <row r="41" spans="1:81" ht="15.75" x14ac:dyDescent="0.25">
      <c r="A41" s="11" t="str">
        <f>Eqs_Formated!A39</f>
        <v>Pro[c]</v>
      </c>
      <c r="B41" s="6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-1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-110</v>
      </c>
      <c r="CC41">
        <v>-0.255</v>
      </c>
    </row>
    <row r="42" spans="1:81" ht="15.75" x14ac:dyDescent="0.25">
      <c r="A42" s="11" t="str">
        <f>Eqs_Formated!A40</f>
        <v>Ser[c]</v>
      </c>
      <c r="B42" s="6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</v>
      </c>
      <c r="AC42">
        <v>0</v>
      </c>
      <c r="AD42">
        <v>0</v>
      </c>
      <c r="AE42">
        <v>0</v>
      </c>
      <c r="AF42">
        <v>-1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-1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-62</v>
      </c>
      <c r="CC42">
        <v>-0.13100000000000001</v>
      </c>
    </row>
    <row r="43" spans="1:81" ht="15.75" x14ac:dyDescent="0.25">
      <c r="A43" s="11" t="str">
        <f>Eqs_Formated!A41</f>
        <v>Thr[c]</v>
      </c>
      <c r="B43" s="6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-1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-1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-118</v>
      </c>
      <c r="CC43">
        <v>-0.32300000000000001</v>
      </c>
    </row>
    <row r="44" spans="1:81" ht="15.75" x14ac:dyDescent="0.25">
      <c r="A44" s="11" t="str">
        <f>Eqs_Formated!A42</f>
        <v>Tyr[c]</v>
      </c>
      <c r="B44" s="6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-1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 ht="15.75" x14ac:dyDescent="0.25">
      <c r="A45" s="11" t="str">
        <f>Eqs_Formated!A43</f>
        <v>Val[c]</v>
      </c>
      <c r="B45" s="6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-1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 ht="15.75" x14ac:dyDescent="0.25">
      <c r="A46" s="11" t="str">
        <f>Eqs_Formated!A67</f>
        <v>mAb[e]</v>
      </c>
      <c r="B46" s="1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-1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 ht="15.75" x14ac:dyDescent="0.25">
      <c r="A47" s="11" t="str">
        <f>Eqs_Formated!A68</f>
        <v>Xv[e]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-1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 x14ac:dyDescent="0.25"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-1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2:81" x14ac:dyDescent="0.25"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-1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  <row r="50" spans="2:81" x14ac:dyDescent="0.25"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-1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 spans="2:81" x14ac:dyDescent="0.25"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-1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</row>
    <row r="52" spans="2:81" x14ac:dyDescent="0.25"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-1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</row>
    <row r="53" spans="2:81" x14ac:dyDescent="0.25"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-1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</row>
    <row r="54" spans="2:81" x14ac:dyDescent="0.25"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-1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</row>
    <row r="55" spans="2:81" x14ac:dyDescent="0.25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-1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</row>
    <row r="56" spans="2:81" x14ac:dyDescent="0.25"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-1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</row>
    <row r="57" spans="2:81" x14ac:dyDescent="0.25"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-1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</row>
    <row r="58" spans="2:81" x14ac:dyDescent="0.25"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-1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</row>
    <row r="59" spans="2:81" x14ac:dyDescent="0.25"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-1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</row>
    <row r="60" spans="2:81" x14ac:dyDescent="0.25"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-1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</row>
    <row r="61" spans="2:81" x14ac:dyDescent="0.25"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-1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</row>
    <row r="62" spans="2:81" x14ac:dyDescent="0.25"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-1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</row>
    <row r="63" spans="2:81" x14ac:dyDescent="0.25"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-1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</row>
    <row r="64" spans="2:81" x14ac:dyDescent="0.25"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-1</v>
      </c>
      <c r="BY64">
        <v>0</v>
      </c>
      <c r="BZ64">
        <v>0</v>
      </c>
      <c r="CA64">
        <v>0</v>
      </c>
      <c r="CB64">
        <v>0</v>
      </c>
      <c r="CC64">
        <v>0</v>
      </c>
    </row>
    <row r="65" spans="2:81" x14ac:dyDescent="0.25"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-1</v>
      </c>
      <c r="BZ65">
        <v>0</v>
      </c>
      <c r="CA65">
        <v>0</v>
      </c>
      <c r="CB65">
        <v>0</v>
      </c>
      <c r="CC65">
        <v>0</v>
      </c>
    </row>
    <row r="66" spans="2:81" x14ac:dyDescent="0.25"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-1</v>
      </c>
      <c r="CA66">
        <v>0</v>
      </c>
      <c r="CB66">
        <v>0</v>
      </c>
      <c r="CC66">
        <v>0</v>
      </c>
    </row>
    <row r="67" spans="2:81" x14ac:dyDescent="0.25"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</row>
    <row r="68" spans="2:81" x14ac:dyDescent="0.25"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-1</v>
      </c>
      <c r="CB68">
        <v>0</v>
      </c>
      <c r="CC6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topLeftCell="A23" zoomScale="70" zoomScaleNormal="70" workbookViewId="0">
      <selection activeCell="A43" sqref="A2:A43"/>
    </sheetView>
  </sheetViews>
  <sheetFormatPr defaultRowHeight="15" x14ac:dyDescent="0.25"/>
  <cols>
    <col min="1" max="1" width="20.7109375" customWidth="1"/>
    <col min="2" max="2" width="255.5703125" style="3" customWidth="1"/>
  </cols>
  <sheetData>
    <row r="1" spans="1:2" ht="15.75" x14ac:dyDescent="0.25">
      <c r="A1" s="1"/>
      <c r="B1" s="2"/>
    </row>
    <row r="2" spans="1:2" ht="15.75" x14ac:dyDescent="0.25">
      <c r="A2" s="11" t="s">
        <v>49</v>
      </c>
      <c r="B2" s="3" t="s">
        <v>204</v>
      </c>
    </row>
    <row r="3" spans="1:2" ht="15.75" x14ac:dyDescent="0.25">
      <c r="A3" s="11" t="s">
        <v>50</v>
      </c>
      <c r="B3" s="3" t="s">
        <v>214</v>
      </c>
    </row>
    <row r="4" spans="1:2" ht="15.75" x14ac:dyDescent="0.25">
      <c r="A4" s="11" t="s">
        <v>51</v>
      </c>
      <c r="B4" s="3" t="s">
        <v>209</v>
      </c>
    </row>
    <row r="5" spans="1:2" ht="15.75" x14ac:dyDescent="0.25">
      <c r="A5" s="11" t="s">
        <v>52</v>
      </c>
      <c r="B5" s="3" t="s">
        <v>213</v>
      </c>
    </row>
    <row r="6" spans="1:2" ht="15.75" x14ac:dyDescent="0.25">
      <c r="A6" s="11" t="s">
        <v>53</v>
      </c>
      <c r="B6" s="3" t="s">
        <v>201</v>
      </c>
    </row>
    <row r="7" spans="1:2" ht="15.75" x14ac:dyDescent="0.25">
      <c r="A7" s="11" t="s">
        <v>54</v>
      </c>
      <c r="B7" s="3" t="s">
        <v>101</v>
      </c>
    </row>
    <row r="8" spans="1:2" ht="15.75" x14ac:dyDescent="0.25">
      <c r="A8" s="11" t="s">
        <v>55</v>
      </c>
      <c r="B8" s="3" t="s">
        <v>102</v>
      </c>
    </row>
    <row r="9" spans="1:2" ht="15.75" x14ac:dyDescent="0.25">
      <c r="A9" s="11" t="s">
        <v>56</v>
      </c>
      <c r="B9" s="3" t="s">
        <v>47</v>
      </c>
    </row>
    <row r="10" spans="1:2" ht="15.75" x14ac:dyDescent="0.25">
      <c r="A10" s="11" t="s">
        <v>57</v>
      </c>
      <c r="B10" s="3" t="s">
        <v>0</v>
      </c>
    </row>
    <row r="11" spans="1:2" ht="15.75" x14ac:dyDescent="0.25">
      <c r="A11" s="11" t="s">
        <v>59</v>
      </c>
      <c r="B11" s="3" t="s">
        <v>1</v>
      </c>
    </row>
    <row r="12" spans="1:2" ht="15.75" x14ac:dyDescent="0.25">
      <c r="A12" s="11" t="s">
        <v>60</v>
      </c>
      <c r="B12" s="3" t="s">
        <v>207</v>
      </c>
    </row>
    <row r="13" spans="1:2" ht="15.75" x14ac:dyDescent="0.25">
      <c r="A13" s="11" t="s">
        <v>61</v>
      </c>
      <c r="B13" s="3" t="s">
        <v>208</v>
      </c>
    </row>
    <row r="14" spans="1:2" ht="15.75" x14ac:dyDescent="0.25">
      <c r="A14" s="11" t="s">
        <v>62</v>
      </c>
      <c r="B14" s="3" t="s">
        <v>190</v>
      </c>
    </row>
    <row r="15" spans="1:2" ht="15.75" x14ac:dyDescent="0.25">
      <c r="A15" s="11" t="s">
        <v>63</v>
      </c>
      <c r="B15" s="3" t="s">
        <v>198</v>
      </c>
    </row>
    <row r="16" spans="1:2" ht="15.75" x14ac:dyDescent="0.25">
      <c r="A16" s="11" t="s">
        <v>64</v>
      </c>
      <c r="B16" s="3" t="s">
        <v>2</v>
      </c>
    </row>
    <row r="17" spans="1:2" ht="15.75" x14ac:dyDescent="0.25">
      <c r="A17" s="11" t="s">
        <v>65</v>
      </c>
      <c r="B17" s="3" t="s">
        <v>3</v>
      </c>
    </row>
    <row r="18" spans="1:2" ht="15.75" x14ac:dyDescent="0.25">
      <c r="A18" s="11" t="s">
        <v>66</v>
      </c>
      <c r="B18" s="3" t="s">
        <v>110</v>
      </c>
    </row>
    <row r="19" spans="1:2" ht="15.75" x14ac:dyDescent="0.25">
      <c r="A19" s="11" t="s">
        <v>67</v>
      </c>
      <c r="B19" s="3" t="s">
        <v>70</v>
      </c>
    </row>
    <row r="20" spans="1:2" ht="15.75" x14ac:dyDescent="0.25">
      <c r="A20" s="11" t="s">
        <v>68</v>
      </c>
      <c r="B20" s="3" t="s">
        <v>5</v>
      </c>
    </row>
    <row r="21" spans="1:2" ht="15.75" x14ac:dyDescent="0.25">
      <c r="A21" s="11" t="s">
        <v>69</v>
      </c>
      <c r="B21" s="3" t="s">
        <v>4</v>
      </c>
    </row>
    <row r="22" spans="1:2" x14ac:dyDescent="0.25">
      <c r="A22" s="15" t="s">
        <v>118</v>
      </c>
      <c r="B22" s="8" t="s">
        <v>140</v>
      </c>
    </row>
    <row r="23" spans="1:2" x14ac:dyDescent="0.25">
      <c r="A23" s="15" t="s">
        <v>119</v>
      </c>
      <c r="B23" s="8" t="s">
        <v>210</v>
      </c>
    </row>
    <row r="24" spans="1:2" x14ac:dyDescent="0.25">
      <c r="A24" s="15" t="s">
        <v>120</v>
      </c>
      <c r="B24" s="8" t="s">
        <v>145</v>
      </c>
    </row>
    <row r="25" spans="1:2" x14ac:dyDescent="0.25">
      <c r="A25" s="15" t="s">
        <v>121</v>
      </c>
      <c r="B25" s="8" t="s">
        <v>148</v>
      </c>
    </row>
    <row r="26" spans="1:2" x14ac:dyDescent="0.25">
      <c r="A26" s="15" t="s">
        <v>122</v>
      </c>
      <c r="B26" s="8" t="s">
        <v>195</v>
      </c>
    </row>
    <row r="27" spans="1:2" x14ac:dyDescent="0.25">
      <c r="A27" s="15" t="s">
        <v>123</v>
      </c>
      <c r="B27" s="8" t="s">
        <v>113</v>
      </c>
    </row>
    <row r="28" spans="1:2" x14ac:dyDescent="0.25">
      <c r="A28" s="15" t="s">
        <v>124</v>
      </c>
      <c r="B28" s="8" t="s">
        <v>211</v>
      </c>
    </row>
    <row r="29" spans="1:2" ht="15.75" x14ac:dyDescent="0.25">
      <c r="A29" s="11" t="s">
        <v>58</v>
      </c>
      <c r="B29" s="3" t="s">
        <v>205</v>
      </c>
    </row>
    <row r="30" spans="1:2" x14ac:dyDescent="0.25">
      <c r="A30" s="16" t="s">
        <v>125</v>
      </c>
      <c r="B30" s="8" t="s">
        <v>153</v>
      </c>
    </row>
    <row r="31" spans="1:2" x14ac:dyDescent="0.25">
      <c r="A31" s="15" t="s">
        <v>126</v>
      </c>
      <c r="B31" s="8" t="s">
        <v>156</v>
      </c>
    </row>
    <row r="32" spans="1:2" x14ac:dyDescent="0.25">
      <c r="A32" s="15" t="s">
        <v>127</v>
      </c>
      <c r="B32" s="8" t="s">
        <v>184</v>
      </c>
    </row>
    <row r="33" spans="1:2" x14ac:dyDescent="0.25">
      <c r="A33" s="15" t="s">
        <v>128</v>
      </c>
      <c r="B33" s="8" t="s">
        <v>116</v>
      </c>
    </row>
    <row r="34" spans="1:2" x14ac:dyDescent="0.25">
      <c r="A34" s="15" t="s">
        <v>129</v>
      </c>
      <c r="B34" s="13" t="s">
        <v>216</v>
      </c>
    </row>
    <row r="35" spans="1:2" x14ac:dyDescent="0.25">
      <c r="A35" s="15" t="s">
        <v>130</v>
      </c>
      <c r="B35" s="14" t="s">
        <v>217</v>
      </c>
    </row>
    <row r="36" spans="1:2" x14ac:dyDescent="0.25">
      <c r="A36" s="15" t="s">
        <v>131</v>
      </c>
      <c r="B36" s="9" t="s">
        <v>193</v>
      </c>
    </row>
    <row r="37" spans="1:2" x14ac:dyDescent="0.25">
      <c r="A37" s="15" t="s">
        <v>132</v>
      </c>
      <c r="B37" s="9" t="s">
        <v>212</v>
      </c>
    </row>
    <row r="38" spans="1:2" x14ac:dyDescent="0.25">
      <c r="A38" s="15" t="s">
        <v>133</v>
      </c>
      <c r="B38" s="9" t="s">
        <v>197</v>
      </c>
    </row>
    <row r="39" spans="1:2" x14ac:dyDescent="0.25">
      <c r="A39" s="15" t="s">
        <v>134</v>
      </c>
      <c r="B39" s="9" t="s">
        <v>200</v>
      </c>
    </row>
    <row r="40" spans="1:2" x14ac:dyDescent="0.25">
      <c r="A40" s="15" t="s">
        <v>135</v>
      </c>
      <c r="B40" s="9" t="s">
        <v>194</v>
      </c>
    </row>
    <row r="41" spans="1:2" x14ac:dyDescent="0.25">
      <c r="A41" s="15" t="s">
        <v>136</v>
      </c>
      <c r="B41" s="9" t="s">
        <v>178</v>
      </c>
    </row>
    <row r="42" spans="1:2" x14ac:dyDescent="0.25">
      <c r="A42" s="15" t="s">
        <v>137</v>
      </c>
      <c r="B42" s="9" t="s">
        <v>203</v>
      </c>
    </row>
    <row r="43" spans="1:2" x14ac:dyDescent="0.25">
      <c r="A43" s="15" t="s">
        <v>138</v>
      </c>
      <c r="B43" s="9" t="s">
        <v>188</v>
      </c>
    </row>
    <row r="44" spans="1:2" x14ac:dyDescent="0.25">
      <c r="A44" s="7" t="s">
        <v>78</v>
      </c>
      <c r="B44" s="3" t="s">
        <v>112</v>
      </c>
    </row>
    <row r="45" spans="1:2" x14ac:dyDescent="0.25">
      <c r="A45" s="7" t="s">
        <v>84</v>
      </c>
      <c r="B45" s="3" t="s">
        <v>115</v>
      </c>
    </row>
    <row r="46" spans="1:2" x14ac:dyDescent="0.25">
      <c r="A46" s="12" t="s">
        <v>95</v>
      </c>
      <c r="B46" s="9" t="s">
        <v>45</v>
      </c>
    </row>
    <row r="47" spans="1:2" x14ac:dyDescent="0.25">
      <c r="A47" s="7" t="s">
        <v>73</v>
      </c>
      <c r="B47" s="3" t="s">
        <v>139</v>
      </c>
    </row>
    <row r="48" spans="1:2" x14ac:dyDescent="0.25">
      <c r="A48" s="7" t="s">
        <v>74</v>
      </c>
      <c r="B48" s="3" t="s">
        <v>142</v>
      </c>
    </row>
    <row r="49" spans="1:2" x14ac:dyDescent="0.25">
      <c r="A49" s="7" t="s">
        <v>75</v>
      </c>
      <c r="B49" s="3" t="s">
        <v>144</v>
      </c>
    </row>
    <row r="50" spans="1:2" x14ac:dyDescent="0.25">
      <c r="A50" s="7" t="s">
        <v>76</v>
      </c>
      <c r="B50" s="3" t="s">
        <v>147</v>
      </c>
    </row>
    <row r="51" spans="1:2" x14ac:dyDescent="0.25">
      <c r="A51" s="7" t="s">
        <v>77</v>
      </c>
      <c r="B51" s="3" t="s">
        <v>150</v>
      </c>
    </row>
    <row r="52" spans="1:2" x14ac:dyDescent="0.25">
      <c r="A52" s="7" t="s">
        <v>79</v>
      </c>
      <c r="B52" s="3" t="s">
        <v>183</v>
      </c>
    </row>
    <row r="53" spans="1:2" x14ac:dyDescent="0.25">
      <c r="A53" s="7" t="s">
        <v>80</v>
      </c>
      <c r="B53" s="8" t="s">
        <v>181</v>
      </c>
    </row>
    <row r="54" spans="1:2" x14ac:dyDescent="0.25">
      <c r="A54" s="10" t="s">
        <v>81</v>
      </c>
      <c r="B54" s="3" t="s">
        <v>152</v>
      </c>
    </row>
    <row r="55" spans="1:2" x14ac:dyDescent="0.25">
      <c r="A55" s="7" t="s">
        <v>82</v>
      </c>
      <c r="B55" s="3" t="s">
        <v>155</v>
      </c>
    </row>
    <row r="56" spans="1:2" x14ac:dyDescent="0.25">
      <c r="A56" s="7" t="s">
        <v>83</v>
      </c>
      <c r="B56" s="3" t="s">
        <v>158</v>
      </c>
    </row>
    <row r="57" spans="1:2" x14ac:dyDescent="0.25">
      <c r="A57" s="7" t="s">
        <v>85</v>
      </c>
      <c r="B57" s="3" t="s">
        <v>160</v>
      </c>
    </row>
    <row r="58" spans="1:2" x14ac:dyDescent="0.25">
      <c r="A58" s="7" t="s">
        <v>86</v>
      </c>
      <c r="B58" s="3" t="s">
        <v>161</v>
      </c>
    </row>
    <row r="59" spans="1:2" x14ac:dyDescent="0.25">
      <c r="A59" s="7" t="s">
        <v>87</v>
      </c>
      <c r="B59" s="3" t="s">
        <v>163</v>
      </c>
    </row>
    <row r="60" spans="1:2" x14ac:dyDescent="0.25">
      <c r="A60" s="7" t="s">
        <v>88</v>
      </c>
      <c r="B60" s="3" t="s">
        <v>164</v>
      </c>
    </row>
    <row r="61" spans="1:2" x14ac:dyDescent="0.25">
      <c r="A61" s="7" t="s">
        <v>89</v>
      </c>
      <c r="B61" s="3" t="s">
        <v>165</v>
      </c>
    </row>
    <row r="62" spans="1:2" x14ac:dyDescent="0.25">
      <c r="A62" s="7" t="s">
        <v>90</v>
      </c>
      <c r="B62" s="3" t="s">
        <v>166</v>
      </c>
    </row>
    <row r="63" spans="1:2" x14ac:dyDescent="0.25">
      <c r="A63" s="7" t="s">
        <v>91</v>
      </c>
      <c r="B63" s="3" t="s">
        <v>167</v>
      </c>
    </row>
    <row r="64" spans="1:2" x14ac:dyDescent="0.25">
      <c r="A64" s="7" t="s">
        <v>92</v>
      </c>
      <c r="B64" s="3" t="s">
        <v>168</v>
      </c>
    </row>
    <row r="65" spans="1:2" x14ac:dyDescent="0.25">
      <c r="A65" s="7" t="s">
        <v>93</v>
      </c>
      <c r="B65" s="3" t="s">
        <v>169</v>
      </c>
    </row>
    <row r="66" spans="1:2" x14ac:dyDescent="0.25">
      <c r="A66" s="7" t="s">
        <v>94</v>
      </c>
      <c r="B66" s="3" t="s">
        <v>170</v>
      </c>
    </row>
    <row r="67" spans="1:2" x14ac:dyDescent="0.25">
      <c r="A67" s="7" t="s">
        <v>48</v>
      </c>
      <c r="B67" s="8" t="s">
        <v>46</v>
      </c>
    </row>
    <row r="68" spans="1:2" x14ac:dyDescent="0.25">
      <c r="A68" s="7" t="s">
        <v>96</v>
      </c>
      <c r="B68" s="8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E58B-BC4A-43A0-B0B7-6BEABBACA436}">
  <dimension ref="A1:E81"/>
  <sheetViews>
    <sheetView workbookViewId="0">
      <selection activeCell="B7" sqref="B7"/>
    </sheetView>
  </sheetViews>
  <sheetFormatPr defaultRowHeight="15" x14ac:dyDescent="0.25"/>
  <cols>
    <col min="1" max="1" width="13.42578125" customWidth="1"/>
    <col min="2" max="2" width="9.85546875" customWidth="1"/>
    <col min="6" max="6" width="11.140625" bestFit="1" customWidth="1"/>
    <col min="36" max="36" width="11.28515625" bestFit="1" customWidth="1"/>
  </cols>
  <sheetData>
    <row r="1" spans="1:5" x14ac:dyDescent="0.25">
      <c r="B1" t="s">
        <v>40</v>
      </c>
      <c r="C1" t="s">
        <v>41</v>
      </c>
      <c r="D1" t="s">
        <v>42</v>
      </c>
      <c r="E1" t="s">
        <v>43</v>
      </c>
    </row>
    <row r="2" spans="1:5" x14ac:dyDescent="0.25">
      <c r="A2" t="s">
        <v>20</v>
      </c>
      <c r="B2">
        <v>0</v>
      </c>
      <c r="C2">
        <v>0</v>
      </c>
      <c r="D2">
        <v>1000</v>
      </c>
    </row>
    <row r="3" spans="1:5" x14ac:dyDescent="0.25">
      <c r="A3" t="s">
        <v>21</v>
      </c>
      <c r="B3">
        <v>0</v>
      </c>
      <c r="C3">
        <v>0</v>
      </c>
      <c r="D3">
        <v>1000</v>
      </c>
    </row>
    <row r="4" spans="1:5" x14ac:dyDescent="0.25">
      <c r="A4" t="s">
        <v>22</v>
      </c>
      <c r="B4">
        <v>0</v>
      </c>
      <c r="C4">
        <v>0</v>
      </c>
      <c r="D4">
        <v>1000</v>
      </c>
    </row>
    <row r="5" spans="1:5" x14ac:dyDescent="0.25">
      <c r="A5" t="s">
        <v>23</v>
      </c>
      <c r="B5">
        <v>0</v>
      </c>
      <c r="C5">
        <v>0</v>
      </c>
      <c r="D5">
        <v>1000</v>
      </c>
    </row>
    <row r="6" spans="1:5" x14ac:dyDescent="0.25">
      <c r="A6" t="s">
        <v>24</v>
      </c>
      <c r="B6">
        <v>0</v>
      </c>
      <c r="C6">
        <v>0</v>
      </c>
      <c r="D6">
        <v>1000</v>
      </c>
    </row>
    <row r="7" spans="1:5" x14ac:dyDescent="0.25">
      <c r="A7" t="s">
        <v>25</v>
      </c>
      <c r="B7">
        <v>0</v>
      </c>
      <c r="C7">
        <v>0</v>
      </c>
      <c r="D7">
        <v>1000</v>
      </c>
    </row>
    <row r="8" spans="1:5" x14ac:dyDescent="0.25">
      <c r="A8" t="s">
        <v>26</v>
      </c>
      <c r="B8">
        <v>0</v>
      </c>
      <c r="C8">
        <v>0</v>
      </c>
      <c r="D8">
        <v>1000</v>
      </c>
    </row>
    <row r="9" spans="1:5" x14ac:dyDescent="0.25">
      <c r="A9" t="s">
        <v>27</v>
      </c>
      <c r="B9">
        <v>0</v>
      </c>
      <c r="C9">
        <v>0</v>
      </c>
      <c r="D9">
        <v>1000</v>
      </c>
    </row>
    <row r="10" spans="1:5" x14ac:dyDescent="0.25">
      <c r="A10" t="s">
        <v>36</v>
      </c>
      <c r="B10">
        <v>0</v>
      </c>
      <c r="C10">
        <v>0</v>
      </c>
      <c r="D10">
        <v>1000</v>
      </c>
    </row>
    <row r="11" spans="1:5" x14ac:dyDescent="0.25">
      <c r="A11" t="s">
        <v>28</v>
      </c>
      <c r="B11">
        <v>1</v>
      </c>
      <c r="C11">
        <v>-1000</v>
      </c>
      <c r="D11">
        <v>1000</v>
      </c>
    </row>
    <row r="12" spans="1:5" x14ac:dyDescent="0.25">
      <c r="A12" t="s">
        <v>29</v>
      </c>
      <c r="B12">
        <v>0</v>
      </c>
      <c r="C12">
        <v>0</v>
      </c>
      <c r="D12">
        <v>1000</v>
      </c>
    </row>
    <row r="13" spans="1:5" x14ac:dyDescent="0.25">
      <c r="A13" t="s">
        <v>30</v>
      </c>
      <c r="B13">
        <v>0</v>
      </c>
      <c r="C13">
        <v>0</v>
      </c>
      <c r="D13">
        <v>1000</v>
      </c>
    </row>
    <row r="14" spans="1:5" x14ac:dyDescent="0.25">
      <c r="A14" t="s">
        <v>31</v>
      </c>
      <c r="B14">
        <v>1</v>
      </c>
      <c r="C14">
        <v>-1000</v>
      </c>
      <c r="D14">
        <v>1000</v>
      </c>
    </row>
    <row r="15" spans="1:5" x14ac:dyDescent="0.25">
      <c r="A15" t="s">
        <v>32</v>
      </c>
      <c r="B15">
        <v>0</v>
      </c>
      <c r="C15">
        <v>0</v>
      </c>
      <c r="D15">
        <v>1000</v>
      </c>
    </row>
    <row r="16" spans="1:5" x14ac:dyDescent="0.25">
      <c r="A16" t="s">
        <v>33</v>
      </c>
      <c r="B16">
        <v>0</v>
      </c>
      <c r="C16">
        <v>0</v>
      </c>
      <c r="D16">
        <v>1000</v>
      </c>
    </row>
    <row r="17" spans="1:4" x14ac:dyDescent="0.25">
      <c r="A17" t="s">
        <v>34</v>
      </c>
      <c r="B17">
        <v>0</v>
      </c>
      <c r="C17">
        <v>0</v>
      </c>
      <c r="D17">
        <v>1000</v>
      </c>
    </row>
    <row r="18" spans="1:4" x14ac:dyDescent="0.25">
      <c r="A18" t="s">
        <v>35</v>
      </c>
      <c r="B18">
        <v>0</v>
      </c>
      <c r="C18">
        <v>0</v>
      </c>
      <c r="D18">
        <v>1000</v>
      </c>
    </row>
    <row r="19" spans="1:4" x14ac:dyDescent="0.25">
      <c r="A19" t="s">
        <v>37</v>
      </c>
      <c r="B19">
        <v>0</v>
      </c>
      <c r="C19">
        <v>0</v>
      </c>
      <c r="D19">
        <v>1000</v>
      </c>
    </row>
    <row r="20" spans="1:4" x14ac:dyDescent="0.25">
      <c r="A20" t="s">
        <v>38</v>
      </c>
      <c r="B20">
        <v>0</v>
      </c>
      <c r="C20">
        <v>0</v>
      </c>
      <c r="D20">
        <v>1000</v>
      </c>
    </row>
    <row r="21" spans="1:4" x14ac:dyDescent="0.25">
      <c r="A21" t="s">
        <v>39</v>
      </c>
      <c r="B21">
        <v>0</v>
      </c>
      <c r="C21">
        <v>0</v>
      </c>
      <c r="D21">
        <v>1000</v>
      </c>
    </row>
    <row r="22" spans="1:4" x14ac:dyDescent="0.25">
      <c r="A22" t="s">
        <v>16</v>
      </c>
      <c r="B22">
        <v>0</v>
      </c>
      <c r="C22">
        <v>0</v>
      </c>
      <c r="D22">
        <v>1000</v>
      </c>
    </row>
    <row r="23" spans="1:4" x14ac:dyDescent="0.25">
      <c r="A23" t="s">
        <v>13</v>
      </c>
      <c r="B23">
        <v>0</v>
      </c>
      <c r="C23">
        <v>0</v>
      </c>
      <c r="D23">
        <v>1000</v>
      </c>
    </row>
    <row r="24" spans="1:4" x14ac:dyDescent="0.25">
      <c r="A24" t="s">
        <v>14</v>
      </c>
      <c r="B24">
        <v>1</v>
      </c>
      <c r="C24">
        <v>-1000</v>
      </c>
      <c r="D24">
        <v>1000</v>
      </c>
    </row>
    <row r="25" spans="1:4" x14ac:dyDescent="0.25">
      <c r="A25" t="s">
        <v>12</v>
      </c>
      <c r="B25">
        <v>0</v>
      </c>
      <c r="C25">
        <v>0</v>
      </c>
      <c r="D25">
        <v>1000</v>
      </c>
    </row>
    <row r="26" spans="1:4" x14ac:dyDescent="0.25">
      <c r="A26" t="s">
        <v>18</v>
      </c>
      <c r="B26">
        <v>1</v>
      </c>
      <c r="C26">
        <v>-1000</v>
      </c>
      <c r="D26">
        <v>1000</v>
      </c>
    </row>
    <row r="27" spans="1:4" x14ac:dyDescent="0.25">
      <c r="A27" t="s">
        <v>8</v>
      </c>
      <c r="B27">
        <v>1</v>
      </c>
      <c r="C27">
        <v>-1000</v>
      </c>
      <c r="D27">
        <v>1000</v>
      </c>
    </row>
    <row r="28" spans="1:4" x14ac:dyDescent="0.25">
      <c r="A28" t="s">
        <v>11</v>
      </c>
      <c r="B28">
        <v>1</v>
      </c>
      <c r="C28">
        <v>-1000</v>
      </c>
      <c r="D28">
        <v>1000</v>
      </c>
    </row>
    <row r="29" spans="1:4" x14ac:dyDescent="0.25">
      <c r="A29" t="s">
        <v>9</v>
      </c>
      <c r="B29">
        <v>0</v>
      </c>
      <c r="C29">
        <v>0</v>
      </c>
      <c r="D29">
        <v>1000</v>
      </c>
    </row>
    <row r="30" spans="1:4" x14ac:dyDescent="0.25">
      <c r="A30" t="s">
        <v>15</v>
      </c>
      <c r="B30">
        <v>1</v>
      </c>
      <c r="C30">
        <v>-1000</v>
      </c>
      <c r="D30">
        <v>1000</v>
      </c>
    </row>
    <row r="31" spans="1:4" x14ac:dyDescent="0.25">
      <c r="A31" t="s">
        <v>17</v>
      </c>
      <c r="B31">
        <v>1</v>
      </c>
      <c r="C31">
        <v>-1000</v>
      </c>
      <c r="D31">
        <v>1000</v>
      </c>
    </row>
    <row r="32" spans="1:4" x14ac:dyDescent="0.25">
      <c r="A32" t="s">
        <v>19</v>
      </c>
      <c r="B32">
        <v>0</v>
      </c>
      <c r="C32">
        <v>0</v>
      </c>
      <c r="D32">
        <v>1000</v>
      </c>
    </row>
    <row r="33" spans="1:4" x14ac:dyDescent="0.25">
      <c r="A33" t="s">
        <v>10</v>
      </c>
      <c r="B33">
        <v>0</v>
      </c>
      <c r="C33">
        <v>0</v>
      </c>
      <c r="D33">
        <v>1000</v>
      </c>
    </row>
    <row r="34" spans="1:4" x14ac:dyDescent="0.25">
      <c r="A34" t="s">
        <v>7</v>
      </c>
      <c r="B34">
        <v>0</v>
      </c>
      <c r="C34">
        <v>0</v>
      </c>
      <c r="D34">
        <v>1000</v>
      </c>
    </row>
    <row r="35" spans="1:4" x14ac:dyDescent="0.25">
      <c r="A35" t="s">
        <v>6</v>
      </c>
      <c r="B35">
        <v>0</v>
      </c>
      <c r="C35">
        <v>0</v>
      </c>
      <c r="D35">
        <v>1000</v>
      </c>
    </row>
    <row r="36" spans="1:4" x14ac:dyDescent="0.25">
      <c r="A36" t="s">
        <v>44</v>
      </c>
      <c r="B36">
        <v>0</v>
      </c>
      <c r="C36">
        <v>0</v>
      </c>
      <c r="D36">
        <v>1000</v>
      </c>
    </row>
    <row r="37" spans="1:4" x14ac:dyDescent="0.25">
      <c r="A37" t="s">
        <v>72</v>
      </c>
      <c r="B37">
        <v>0</v>
      </c>
      <c r="C37">
        <v>0</v>
      </c>
      <c r="D37">
        <v>1000</v>
      </c>
    </row>
    <row r="38" spans="1:4" x14ac:dyDescent="0.25">
      <c r="A38" t="s">
        <v>97</v>
      </c>
      <c r="B38">
        <v>1</v>
      </c>
      <c r="C38">
        <v>-1000</v>
      </c>
      <c r="D38">
        <v>1000</v>
      </c>
    </row>
    <row r="39" spans="1:4" x14ac:dyDescent="0.25">
      <c r="A39" t="s">
        <v>98</v>
      </c>
      <c r="B39">
        <v>0</v>
      </c>
      <c r="C39">
        <v>0</v>
      </c>
      <c r="D39">
        <v>1000</v>
      </c>
    </row>
    <row r="40" spans="1:4" x14ac:dyDescent="0.25">
      <c r="A40" t="s">
        <v>99</v>
      </c>
      <c r="B40">
        <v>1</v>
      </c>
      <c r="C40">
        <v>-1000</v>
      </c>
      <c r="D40">
        <v>1000</v>
      </c>
    </row>
    <row r="41" spans="1:4" x14ac:dyDescent="0.25">
      <c r="A41" t="s">
        <v>100</v>
      </c>
      <c r="B41">
        <v>1</v>
      </c>
      <c r="C41">
        <v>-1000</v>
      </c>
      <c r="D41">
        <v>1000</v>
      </c>
    </row>
    <row r="42" spans="1:4" x14ac:dyDescent="0.25">
      <c r="A42" t="s">
        <v>103</v>
      </c>
      <c r="B42">
        <v>1</v>
      </c>
      <c r="C42">
        <v>-1000</v>
      </c>
      <c r="D42">
        <v>1000</v>
      </c>
    </row>
    <row r="43" spans="1:4" x14ac:dyDescent="0.25">
      <c r="A43" t="s">
        <v>104</v>
      </c>
      <c r="B43">
        <v>1</v>
      </c>
      <c r="C43">
        <v>-1000</v>
      </c>
      <c r="D43">
        <v>1000</v>
      </c>
    </row>
    <row r="44" spans="1:4" x14ac:dyDescent="0.25">
      <c r="A44" t="s">
        <v>105</v>
      </c>
      <c r="B44">
        <v>0</v>
      </c>
      <c r="C44">
        <v>0</v>
      </c>
      <c r="D44">
        <v>1000</v>
      </c>
    </row>
    <row r="45" spans="1:4" x14ac:dyDescent="0.25">
      <c r="A45" t="s">
        <v>106</v>
      </c>
      <c r="B45">
        <v>1</v>
      </c>
      <c r="C45">
        <v>-1000</v>
      </c>
      <c r="D45">
        <v>1000</v>
      </c>
    </row>
    <row r="46" spans="1:4" x14ac:dyDescent="0.25">
      <c r="A46" t="s">
        <v>107</v>
      </c>
      <c r="B46">
        <v>1</v>
      </c>
      <c r="C46">
        <v>-1000</v>
      </c>
      <c r="D46">
        <v>1000</v>
      </c>
    </row>
    <row r="47" spans="1:4" x14ac:dyDescent="0.25">
      <c r="A47" t="s">
        <v>108</v>
      </c>
      <c r="B47">
        <v>0</v>
      </c>
      <c r="C47">
        <v>0</v>
      </c>
      <c r="D47">
        <v>1000</v>
      </c>
    </row>
    <row r="48" spans="1:4" x14ac:dyDescent="0.25">
      <c r="A48" t="s">
        <v>109</v>
      </c>
      <c r="B48">
        <v>0</v>
      </c>
      <c r="C48">
        <v>0</v>
      </c>
      <c r="D48">
        <v>1000</v>
      </c>
    </row>
    <row r="49" spans="1:4" x14ac:dyDescent="0.25">
      <c r="A49" t="s">
        <v>111</v>
      </c>
      <c r="B49">
        <v>0</v>
      </c>
      <c r="C49">
        <v>0</v>
      </c>
      <c r="D49">
        <v>1000</v>
      </c>
    </row>
    <row r="50" spans="1:4" x14ac:dyDescent="0.25">
      <c r="A50" t="s">
        <v>114</v>
      </c>
      <c r="B50">
        <v>0</v>
      </c>
      <c r="C50">
        <v>0</v>
      </c>
      <c r="D50">
        <v>1000</v>
      </c>
    </row>
    <row r="51" spans="1:4" x14ac:dyDescent="0.25">
      <c r="A51" t="s">
        <v>117</v>
      </c>
      <c r="B51">
        <v>1</v>
      </c>
      <c r="C51">
        <v>-1000</v>
      </c>
      <c r="D51">
        <v>1000</v>
      </c>
    </row>
    <row r="52" spans="1:4" x14ac:dyDescent="0.25">
      <c r="A52" s="7" t="s">
        <v>141</v>
      </c>
      <c r="B52">
        <v>1</v>
      </c>
      <c r="C52">
        <v>-1000</v>
      </c>
      <c r="D52">
        <v>1000</v>
      </c>
    </row>
    <row r="53" spans="1:4" x14ac:dyDescent="0.25">
      <c r="A53" s="7" t="s">
        <v>143</v>
      </c>
      <c r="B53">
        <v>1</v>
      </c>
      <c r="C53">
        <v>-1000</v>
      </c>
      <c r="D53">
        <v>1000</v>
      </c>
    </row>
    <row r="54" spans="1:4" x14ac:dyDescent="0.25">
      <c r="A54" s="7" t="s">
        <v>146</v>
      </c>
      <c r="B54">
        <v>1</v>
      </c>
      <c r="C54">
        <v>-1000</v>
      </c>
      <c r="D54">
        <v>1000</v>
      </c>
    </row>
    <row r="55" spans="1:4" x14ac:dyDescent="0.25">
      <c r="A55" s="7" t="s">
        <v>149</v>
      </c>
      <c r="B55">
        <v>1</v>
      </c>
      <c r="C55">
        <v>-1000</v>
      </c>
      <c r="D55">
        <v>1000</v>
      </c>
    </row>
    <row r="56" spans="1:4" x14ac:dyDescent="0.25">
      <c r="A56" s="7" t="s">
        <v>151</v>
      </c>
      <c r="B56">
        <v>1</v>
      </c>
      <c r="C56">
        <v>-1000</v>
      </c>
      <c r="D56">
        <v>1000</v>
      </c>
    </row>
    <row r="57" spans="1:4" x14ac:dyDescent="0.25">
      <c r="A57" s="7" t="s">
        <v>182</v>
      </c>
      <c r="B57">
        <v>1</v>
      </c>
      <c r="C57">
        <v>-1000</v>
      </c>
      <c r="D57">
        <v>1000</v>
      </c>
    </row>
    <row r="58" spans="1:4" x14ac:dyDescent="0.25">
      <c r="A58" s="10" t="s">
        <v>154</v>
      </c>
      <c r="B58">
        <v>1</v>
      </c>
      <c r="C58">
        <v>-1000</v>
      </c>
      <c r="D58">
        <v>1000</v>
      </c>
    </row>
    <row r="59" spans="1:4" x14ac:dyDescent="0.25">
      <c r="A59" s="7" t="s">
        <v>157</v>
      </c>
      <c r="B59">
        <v>1</v>
      </c>
      <c r="C59">
        <v>-1000</v>
      </c>
      <c r="D59">
        <v>1000</v>
      </c>
    </row>
    <row r="60" spans="1:4" x14ac:dyDescent="0.25">
      <c r="A60" s="7" t="s">
        <v>159</v>
      </c>
      <c r="B60">
        <v>1</v>
      </c>
      <c r="C60">
        <v>-1000</v>
      </c>
      <c r="D60">
        <v>1000</v>
      </c>
    </row>
    <row r="61" spans="1:4" x14ac:dyDescent="0.25">
      <c r="A61" s="7" t="s">
        <v>162</v>
      </c>
      <c r="B61">
        <v>1</v>
      </c>
      <c r="C61">
        <v>-1000</v>
      </c>
      <c r="D61">
        <v>1000</v>
      </c>
    </row>
    <row r="62" spans="1:4" x14ac:dyDescent="0.25">
      <c r="A62" s="7" t="s">
        <v>171</v>
      </c>
      <c r="B62">
        <v>1</v>
      </c>
      <c r="C62">
        <v>-1000</v>
      </c>
      <c r="D62">
        <v>1000</v>
      </c>
    </row>
    <row r="63" spans="1:4" x14ac:dyDescent="0.25">
      <c r="A63" s="7" t="s">
        <v>172</v>
      </c>
      <c r="B63">
        <v>1</v>
      </c>
      <c r="C63">
        <v>-1000</v>
      </c>
      <c r="D63">
        <v>1000</v>
      </c>
    </row>
    <row r="64" spans="1:4" x14ac:dyDescent="0.25">
      <c r="A64" s="7" t="s">
        <v>173</v>
      </c>
      <c r="B64">
        <v>1</v>
      </c>
      <c r="C64">
        <v>-1000</v>
      </c>
      <c r="D64">
        <v>1000</v>
      </c>
    </row>
    <row r="65" spans="1:4" x14ac:dyDescent="0.25">
      <c r="A65" s="7" t="s">
        <v>174</v>
      </c>
      <c r="B65">
        <v>1</v>
      </c>
      <c r="C65">
        <v>-1000</v>
      </c>
      <c r="D65">
        <v>1000</v>
      </c>
    </row>
    <row r="66" spans="1:4" x14ac:dyDescent="0.25">
      <c r="A66" s="7" t="s">
        <v>175</v>
      </c>
      <c r="B66">
        <v>1</v>
      </c>
      <c r="C66">
        <v>-1000</v>
      </c>
      <c r="D66">
        <v>1000</v>
      </c>
    </row>
    <row r="67" spans="1:4" x14ac:dyDescent="0.25">
      <c r="A67" s="7" t="s">
        <v>176</v>
      </c>
      <c r="B67">
        <v>1</v>
      </c>
      <c r="C67">
        <v>-1000</v>
      </c>
      <c r="D67">
        <v>1000</v>
      </c>
    </row>
    <row r="68" spans="1:4" x14ac:dyDescent="0.25">
      <c r="A68" s="7" t="s">
        <v>177</v>
      </c>
      <c r="B68">
        <v>1</v>
      </c>
      <c r="C68">
        <v>-1000</v>
      </c>
      <c r="D68">
        <v>1000</v>
      </c>
    </row>
    <row r="69" spans="1:4" x14ac:dyDescent="0.25">
      <c r="A69" s="7" t="s">
        <v>179</v>
      </c>
      <c r="B69">
        <v>1</v>
      </c>
      <c r="C69">
        <v>-1000</v>
      </c>
      <c r="D69">
        <v>1000</v>
      </c>
    </row>
    <row r="70" spans="1:4" x14ac:dyDescent="0.25">
      <c r="A70" s="7" t="s">
        <v>180</v>
      </c>
      <c r="B70">
        <v>1</v>
      </c>
      <c r="C70">
        <v>-1000</v>
      </c>
      <c r="D70">
        <v>1000</v>
      </c>
    </row>
    <row r="71" spans="1:4" x14ac:dyDescent="0.25">
      <c r="A71" t="s">
        <v>185</v>
      </c>
      <c r="B71">
        <v>0</v>
      </c>
      <c r="C71">
        <v>0</v>
      </c>
      <c r="D71">
        <v>1000</v>
      </c>
    </row>
    <row r="72" spans="1:4" x14ac:dyDescent="0.25">
      <c r="A72" t="s">
        <v>186</v>
      </c>
      <c r="B72">
        <v>0</v>
      </c>
      <c r="C72">
        <v>0</v>
      </c>
      <c r="D72">
        <v>1000</v>
      </c>
    </row>
    <row r="73" spans="1:4" x14ac:dyDescent="0.25">
      <c r="A73" t="s">
        <v>187</v>
      </c>
      <c r="B73">
        <v>0</v>
      </c>
      <c r="C73">
        <v>0</v>
      </c>
      <c r="D73">
        <v>1000</v>
      </c>
    </row>
    <row r="74" spans="1:4" x14ac:dyDescent="0.25">
      <c r="A74" t="s">
        <v>189</v>
      </c>
      <c r="B74">
        <v>0</v>
      </c>
      <c r="C74">
        <v>0</v>
      </c>
      <c r="D74">
        <v>1000</v>
      </c>
    </row>
    <row r="75" spans="1:4" x14ac:dyDescent="0.25">
      <c r="A75" t="s">
        <v>191</v>
      </c>
      <c r="B75">
        <v>1</v>
      </c>
      <c r="C75">
        <v>-1000</v>
      </c>
      <c r="D75">
        <v>1000</v>
      </c>
    </row>
    <row r="76" spans="1:4" x14ac:dyDescent="0.25">
      <c r="A76" t="s">
        <v>192</v>
      </c>
      <c r="B76">
        <v>0</v>
      </c>
      <c r="C76">
        <v>0</v>
      </c>
      <c r="D76">
        <v>1000</v>
      </c>
    </row>
    <row r="77" spans="1:4" x14ac:dyDescent="0.25">
      <c r="A77" t="s">
        <v>196</v>
      </c>
      <c r="B77">
        <v>0</v>
      </c>
      <c r="C77">
        <v>0</v>
      </c>
      <c r="D77">
        <v>1000</v>
      </c>
    </row>
    <row r="78" spans="1:4" x14ac:dyDescent="0.25">
      <c r="A78" t="s">
        <v>199</v>
      </c>
      <c r="B78">
        <v>1</v>
      </c>
      <c r="C78">
        <v>-1000</v>
      </c>
      <c r="D78">
        <v>1000</v>
      </c>
    </row>
    <row r="79" spans="1:4" x14ac:dyDescent="0.25">
      <c r="A79" t="s">
        <v>202</v>
      </c>
      <c r="B79">
        <v>0</v>
      </c>
      <c r="C79">
        <v>0</v>
      </c>
      <c r="D79">
        <v>1000</v>
      </c>
    </row>
    <row r="80" spans="1:4" x14ac:dyDescent="0.25">
      <c r="A80" t="s">
        <v>206</v>
      </c>
      <c r="B80">
        <v>0</v>
      </c>
      <c r="C80">
        <v>0</v>
      </c>
      <c r="D80">
        <v>1000</v>
      </c>
    </row>
    <row r="81" spans="1:4" x14ac:dyDescent="0.25">
      <c r="A81" t="s">
        <v>215</v>
      </c>
      <c r="B81">
        <v>1</v>
      </c>
      <c r="C81">
        <v>-1000</v>
      </c>
      <c r="D81">
        <v>1000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CD68"/>
  <sheetViews>
    <sheetView tabSelected="1" workbookViewId="0"/>
  </sheetViews>
  <sheetFormatPr defaultRowHeight="15" x14ac:dyDescent="0.25"/>
  <cols>
    <col min="3" max="3" width="6.140625" customWidth="1"/>
    <col min="4" max="4" width="4.5703125" customWidth="1"/>
    <col min="5" max="5" width="5.7109375" customWidth="1"/>
    <col min="6" max="6" width="6" customWidth="1"/>
    <col min="7" max="7" width="4.7109375" customWidth="1"/>
    <col min="8" max="8" width="10.42578125" customWidth="1"/>
    <col min="9" max="9" width="4.7109375" customWidth="1"/>
    <col min="10" max="10" width="9.140625" customWidth="1"/>
    <col min="11" max="11" width="6.7109375" customWidth="1"/>
    <col min="12" max="12" width="4.85546875" customWidth="1"/>
    <col min="13" max="13" width="7.5703125" customWidth="1"/>
    <col min="14" max="14" width="6.5703125" customWidth="1"/>
    <col min="15" max="15" width="6.140625" customWidth="1"/>
    <col min="16" max="16" width="8.7109375" customWidth="1"/>
    <col min="17" max="17" width="5.28515625" customWidth="1"/>
    <col min="18" max="18" width="5.42578125" customWidth="1"/>
    <col min="19" max="19" width="4.5703125" customWidth="1"/>
    <col min="20" max="20" width="8.42578125" customWidth="1"/>
    <col min="21" max="21" width="6.28515625" customWidth="1"/>
    <col min="22" max="22" width="5.140625" customWidth="1"/>
    <col min="23" max="23" width="6.7109375" customWidth="1"/>
    <col min="24" max="24" width="6.28515625" customWidth="1"/>
    <col min="25" max="25" width="11.42578125" customWidth="1"/>
    <col min="26" max="26" width="7.42578125" customWidth="1"/>
    <col min="27" max="27" width="9.140625" customWidth="1"/>
    <col min="28" max="28" width="4.5703125" customWidth="1"/>
    <col min="29" max="29" width="10.85546875" customWidth="1"/>
    <col min="30" max="30" width="7.28515625" customWidth="1"/>
    <col min="31" max="31" width="8" customWidth="1"/>
    <col min="32" max="33" width="7.7109375" customWidth="1"/>
    <col min="34" max="34" width="4.85546875" customWidth="1"/>
    <col min="35" max="35" width="7" customWidth="1"/>
    <col min="36" max="37" width="8.7109375" customWidth="1"/>
    <col min="38" max="39" width="8.28515625" customWidth="1"/>
    <col min="40" max="40" width="9.5703125" customWidth="1"/>
    <col min="41" max="41" width="7.140625" customWidth="1"/>
    <col min="42" max="42" width="8.140625" customWidth="1"/>
    <col min="43" max="43" width="7" customWidth="1"/>
    <col min="44" max="44" width="11.28515625" customWidth="1"/>
    <col min="45" max="45" width="8.85546875" customWidth="1"/>
    <col min="46" max="46" width="8.28515625" customWidth="1"/>
    <col min="47" max="47" width="5.85546875" customWidth="1"/>
    <col min="48" max="48" width="8.28515625" customWidth="1"/>
    <col min="49" max="49" width="8" customWidth="1"/>
    <col min="50" max="50" width="7.28515625" customWidth="1"/>
    <col min="51" max="51" width="6.7109375" customWidth="1"/>
    <col min="52" max="52" width="8.85546875" customWidth="1"/>
    <col min="53" max="53" width="7.28515625" customWidth="1"/>
    <col min="54" max="54" width="5.5703125" customWidth="1"/>
    <col min="55" max="55" width="5.85546875" customWidth="1"/>
    <col min="56" max="56" width="6.140625" customWidth="1"/>
    <col min="57" max="57" width="9.5703125" customWidth="1"/>
    <col min="58" max="58" width="5.85546875" customWidth="1"/>
    <col min="59" max="59" width="5.5703125" customWidth="1"/>
    <col min="60" max="60" width="5.28515625" customWidth="1"/>
    <col min="61" max="62" width="6.7109375" customWidth="1"/>
    <col min="63" max="63" width="6.85546875" customWidth="1"/>
    <col min="64" max="64" width="8.7109375" customWidth="1"/>
    <col min="65" max="65" width="5.28515625" customWidth="1"/>
    <col min="66" max="66" width="5" customWidth="1"/>
    <col min="67" max="67" width="4.5703125" customWidth="1"/>
    <col min="68" max="68" width="5.28515625" customWidth="1"/>
    <col min="69" max="69" width="5.42578125" customWidth="1"/>
    <col min="70" max="70" width="5" customWidth="1"/>
    <col min="71" max="72" width="5.85546875" customWidth="1"/>
    <col min="73" max="73" width="5.5703125" customWidth="1"/>
    <col min="74" max="74" width="5.85546875" customWidth="1"/>
    <col min="75" max="75" width="8.28515625" customWidth="1"/>
    <col min="76" max="76" width="5.28515625" customWidth="1"/>
    <col min="77" max="77" width="5.5703125" customWidth="1"/>
    <col min="78" max="78" width="5.28515625" customWidth="1"/>
    <col min="79" max="79" width="5.5703125" customWidth="1"/>
    <col min="80" max="80" width="3.42578125" customWidth="1"/>
    <col min="81" max="81" width="6.5703125" customWidth="1"/>
    <col min="82" max="82" width="10.42578125" customWidth="1"/>
  </cols>
  <sheetData>
    <row r="1" spans="3:82" x14ac:dyDescent="0.25"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  <c r="Q1" t="s">
        <v>232</v>
      </c>
      <c r="R1" t="s">
        <v>233</v>
      </c>
      <c r="S1" t="s">
        <v>234</v>
      </c>
      <c r="T1" t="s">
        <v>235</v>
      </c>
      <c r="U1" t="s">
        <v>236</v>
      </c>
      <c r="V1" t="s">
        <v>237</v>
      </c>
      <c r="W1" t="s">
        <v>238</v>
      </c>
      <c r="X1" t="s">
        <v>239</v>
      </c>
      <c r="Y1" t="s">
        <v>240</v>
      </c>
      <c r="Z1" t="s">
        <v>241</v>
      </c>
      <c r="AA1" t="s">
        <v>242</v>
      </c>
      <c r="AB1" t="s">
        <v>243</v>
      </c>
      <c r="AC1" t="s">
        <v>244</v>
      </c>
      <c r="AD1" t="s">
        <v>245</v>
      </c>
      <c r="AE1" t="s">
        <v>246</v>
      </c>
      <c r="AF1" t="s">
        <v>247</v>
      </c>
      <c r="AG1" t="s">
        <v>248</v>
      </c>
      <c r="AH1" t="s">
        <v>249</v>
      </c>
      <c r="AI1" t="s">
        <v>250</v>
      </c>
      <c r="AJ1" t="s">
        <v>251</v>
      </c>
      <c r="AK1" t="s">
        <v>252</v>
      </c>
      <c r="AL1" t="s">
        <v>253</v>
      </c>
      <c r="AM1" t="s">
        <v>254</v>
      </c>
      <c r="AN1" t="s">
        <v>255</v>
      </c>
      <c r="AO1" t="s">
        <v>256</v>
      </c>
      <c r="AP1" t="s">
        <v>257</v>
      </c>
      <c r="AQ1" t="s">
        <v>258</v>
      </c>
      <c r="AR1" t="s">
        <v>259</v>
      </c>
      <c r="AS1" t="s">
        <v>260</v>
      </c>
      <c r="AT1" t="s">
        <v>261</v>
      </c>
      <c r="AU1" t="s">
        <v>262</v>
      </c>
      <c r="AV1" t="s">
        <v>263</v>
      </c>
      <c r="AW1" t="s">
        <v>264</v>
      </c>
      <c r="AX1" t="s">
        <v>265</v>
      </c>
      <c r="AY1" t="s">
        <v>266</v>
      </c>
      <c r="AZ1" t="s">
        <v>267</v>
      </c>
      <c r="BA1" t="s">
        <v>268</v>
      </c>
      <c r="BB1" t="s">
        <v>269</v>
      </c>
      <c r="BC1" t="s">
        <v>270</v>
      </c>
      <c r="BD1" t="s">
        <v>271</v>
      </c>
      <c r="BE1" t="s">
        <v>272</v>
      </c>
      <c r="BF1" t="s">
        <v>273</v>
      </c>
      <c r="BG1" t="s">
        <v>274</v>
      </c>
      <c r="BH1" t="s">
        <v>275</v>
      </c>
      <c r="BI1" t="s">
        <v>276</v>
      </c>
      <c r="BJ1" t="s">
        <v>277</v>
      </c>
      <c r="BK1" t="s">
        <v>278</v>
      </c>
      <c r="BL1" t="s">
        <v>279</v>
      </c>
      <c r="BM1" t="s">
        <v>280</v>
      </c>
      <c r="BN1" t="s">
        <v>281</v>
      </c>
      <c r="BO1" t="s">
        <v>282</v>
      </c>
      <c r="BP1" t="s">
        <v>283</v>
      </c>
      <c r="BQ1" t="s">
        <v>284</v>
      </c>
      <c r="BR1" t="s">
        <v>285</v>
      </c>
      <c r="BS1" t="s">
        <v>286</v>
      </c>
      <c r="BT1" t="s">
        <v>287</v>
      </c>
      <c r="BU1" t="s">
        <v>288</v>
      </c>
      <c r="BV1" t="s">
        <v>289</v>
      </c>
      <c r="BW1" t="s">
        <v>290</v>
      </c>
      <c r="BX1" t="s">
        <v>291</v>
      </c>
      <c r="BY1" t="s">
        <v>292</v>
      </c>
      <c r="BZ1" t="s">
        <v>293</v>
      </c>
      <c r="CA1" t="s">
        <v>294</v>
      </c>
      <c r="CB1" t="s">
        <v>295</v>
      </c>
      <c r="CC1" t="s">
        <v>296</v>
      </c>
      <c r="CD1" t="s">
        <v>297</v>
      </c>
    </row>
    <row r="2" spans="3:82" x14ac:dyDescent="0.25">
      <c r="C2">
        <v>1</v>
      </c>
      <c r="D2">
        <v>-1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8</v>
      </c>
      <c r="AD2">
        <v>1</v>
      </c>
      <c r="AE2">
        <v>3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</row>
    <row r="3" spans="3:82" x14ac:dyDescent="0.25">
      <c r="C3">
        <v>0</v>
      </c>
      <c r="D3">
        <v>0</v>
      </c>
      <c r="E3">
        <v>1</v>
      </c>
      <c r="F3">
        <v>-1</v>
      </c>
      <c r="G3">
        <v>-1</v>
      </c>
      <c r="H3">
        <v>-1</v>
      </c>
      <c r="I3">
        <v>1</v>
      </c>
      <c r="J3">
        <v>1</v>
      </c>
      <c r="K3">
        <v>-5</v>
      </c>
      <c r="L3">
        <v>2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0.5</v>
      </c>
      <c r="AE3">
        <v>0.5</v>
      </c>
      <c r="AF3">
        <v>-1.5</v>
      </c>
      <c r="AG3">
        <v>0</v>
      </c>
      <c r="AH3">
        <v>1</v>
      </c>
      <c r="AI3">
        <v>-1</v>
      </c>
      <c r="AJ3">
        <v>2</v>
      </c>
      <c r="AK3">
        <v>1</v>
      </c>
      <c r="AL3">
        <v>0.5</v>
      </c>
      <c r="AM3">
        <v>4</v>
      </c>
      <c r="AN3">
        <v>-1.5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3980</v>
      </c>
      <c r="CD3">
        <v>29.83</v>
      </c>
    </row>
    <row r="4" spans="3:82" x14ac:dyDescent="0.25"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-1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-7</v>
      </c>
      <c r="AD4">
        <v>-1</v>
      </c>
      <c r="AE4">
        <v>-1</v>
      </c>
      <c r="AF4">
        <v>-2</v>
      </c>
      <c r="AG4">
        <v>0</v>
      </c>
      <c r="AH4">
        <v>0</v>
      </c>
      <c r="AI4">
        <v>0</v>
      </c>
      <c r="AJ4">
        <v>0</v>
      </c>
      <c r="AK4">
        <v>0</v>
      </c>
      <c r="AL4">
        <v>-1</v>
      </c>
      <c r="AM4">
        <v>1</v>
      </c>
      <c r="AN4">
        <v>0</v>
      </c>
      <c r="AO4">
        <v>1</v>
      </c>
      <c r="AP4">
        <v>1</v>
      </c>
      <c r="AQ4">
        <v>-1</v>
      </c>
      <c r="AR4">
        <v>-1</v>
      </c>
      <c r="AS4">
        <v>-1</v>
      </c>
      <c r="AT4">
        <v>-1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3:82" x14ac:dyDescent="0.25"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-1</v>
      </c>
      <c r="M5">
        <v>0</v>
      </c>
      <c r="N5">
        <v>-1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3:82" x14ac:dyDescent="0.25">
      <c r="C6">
        <v>0</v>
      </c>
      <c r="D6">
        <v>0</v>
      </c>
      <c r="E6">
        <v>-1</v>
      </c>
      <c r="F6">
        <v>1</v>
      </c>
      <c r="G6">
        <v>1</v>
      </c>
      <c r="H6">
        <v>1</v>
      </c>
      <c r="I6">
        <v>-1</v>
      </c>
      <c r="J6">
        <v>-1</v>
      </c>
      <c r="K6">
        <v>5</v>
      </c>
      <c r="L6">
        <v>-1</v>
      </c>
      <c r="M6">
        <v>-1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-1</v>
      </c>
      <c r="AD6">
        <v>-0.5</v>
      </c>
      <c r="AE6">
        <v>-0.5</v>
      </c>
      <c r="AF6">
        <v>1.5</v>
      </c>
      <c r="AG6">
        <v>0</v>
      </c>
      <c r="AH6">
        <v>-1</v>
      </c>
      <c r="AI6">
        <v>1</v>
      </c>
      <c r="AJ6">
        <v>-2</v>
      </c>
      <c r="AK6">
        <v>-1</v>
      </c>
      <c r="AL6">
        <v>-0.5</v>
      </c>
      <c r="AM6">
        <v>-4</v>
      </c>
      <c r="AN6">
        <v>1.5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-3980</v>
      </c>
      <c r="CD6">
        <v>-29.83</v>
      </c>
    </row>
    <row r="7" spans="3:82" x14ac:dyDescent="0.25"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-0.4</v>
      </c>
    </row>
    <row r="8" spans="3:82" x14ac:dyDescent="0.25">
      <c r="C8">
        <v>0</v>
      </c>
      <c r="D8">
        <v>0</v>
      </c>
      <c r="E8">
        <v>-1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</row>
    <row r="9" spans="3:82" x14ac:dyDescent="0.25"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-1</v>
      </c>
      <c r="S9">
        <v>0</v>
      </c>
      <c r="T9">
        <v>-1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-2.5499999999999998E-2</v>
      </c>
    </row>
    <row r="10" spans="3:82" x14ac:dyDescent="0.25">
      <c r="C10">
        <v>0</v>
      </c>
      <c r="D10">
        <v>0</v>
      </c>
      <c r="E10">
        <v>2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3:82" x14ac:dyDescent="0.25"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-1</v>
      </c>
      <c r="V11">
        <v>-1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3:82" x14ac:dyDescent="0.25">
      <c r="C12">
        <v>-1</v>
      </c>
      <c r="D12">
        <v>0</v>
      </c>
      <c r="E12">
        <v>0</v>
      </c>
      <c r="F12">
        <v>-1</v>
      </c>
      <c r="G12">
        <v>0</v>
      </c>
      <c r="H12">
        <v>-0.66666669999999995</v>
      </c>
      <c r="I12">
        <v>0</v>
      </c>
      <c r="J12">
        <v>0</v>
      </c>
      <c r="K12">
        <v>2</v>
      </c>
      <c r="L12">
        <v>0</v>
      </c>
      <c r="M12">
        <v>0</v>
      </c>
      <c r="N12">
        <v>0</v>
      </c>
      <c r="O12">
        <v>-1</v>
      </c>
      <c r="P12">
        <v>-1</v>
      </c>
      <c r="Q12">
        <v>0</v>
      </c>
      <c r="R12">
        <v>0</v>
      </c>
      <c r="S12">
        <v>0</v>
      </c>
      <c r="T12">
        <v>0</v>
      </c>
      <c r="U12">
        <v>-1</v>
      </c>
      <c r="V12">
        <v>-1</v>
      </c>
      <c r="W12">
        <v>2</v>
      </c>
      <c r="X12">
        <v>1</v>
      </c>
      <c r="Y12">
        <v>0</v>
      </c>
      <c r="Z12">
        <v>0</v>
      </c>
      <c r="AA12">
        <v>0</v>
      </c>
      <c r="AB12">
        <v>0</v>
      </c>
      <c r="AC12">
        <v>-9</v>
      </c>
      <c r="AD12">
        <v>-1</v>
      </c>
      <c r="AE12">
        <v>-1</v>
      </c>
      <c r="AF12">
        <v>-4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-3</v>
      </c>
      <c r="AM12">
        <v>-1</v>
      </c>
      <c r="AN12">
        <v>-1</v>
      </c>
      <c r="AO12">
        <v>-1</v>
      </c>
      <c r="AP12">
        <v>0</v>
      </c>
      <c r="AQ12">
        <v>0</v>
      </c>
      <c r="AR12">
        <v>0</v>
      </c>
      <c r="AS12">
        <v>0</v>
      </c>
      <c r="AT12">
        <v>-1</v>
      </c>
      <c r="AU12">
        <v>1</v>
      </c>
      <c r="AV12">
        <v>-2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</row>
    <row r="13" spans="3:82" x14ac:dyDescent="0.25">
      <c r="C13">
        <v>1</v>
      </c>
      <c r="D13">
        <v>0</v>
      </c>
      <c r="E13">
        <v>0</v>
      </c>
      <c r="F13">
        <v>1</v>
      </c>
      <c r="G13">
        <v>0</v>
      </c>
      <c r="H13">
        <v>0.66666669999999995</v>
      </c>
      <c r="I13">
        <v>0</v>
      </c>
      <c r="J13">
        <v>0</v>
      </c>
      <c r="K13">
        <v>-2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-2</v>
      </c>
      <c r="X13">
        <v>0</v>
      </c>
      <c r="Y13">
        <v>0</v>
      </c>
      <c r="Z13">
        <v>0</v>
      </c>
      <c r="AA13">
        <v>0</v>
      </c>
      <c r="AB13">
        <v>0</v>
      </c>
      <c r="AC13">
        <v>9</v>
      </c>
      <c r="AD13">
        <v>1</v>
      </c>
      <c r="AE13">
        <v>1</v>
      </c>
      <c r="AF13">
        <v>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</v>
      </c>
      <c r="AM13">
        <v>1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-1</v>
      </c>
      <c r="AV13">
        <v>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3:82" x14ac:dyDescent="0.25"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-2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3:82" x14ac:dyDescent="0.25"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</v>
      </c>
      <c r="U15">
        <v>0</v>
      </c>
      <c r="V15">
        <v>0</v>
      </c>
      <c r="W15">
        <v>0</v>
      </c>
      <c r="X15">
        <v>0</v>
      </c>
      <c r="Y15">
        <v>-1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-1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-1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3:82" x14ac:dyDescent="0.25">
      <c r="C16">
        <v>0</v>
      </c>
      <c r="D16">
        <v>-1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3:82" x14ac:dyDescent="0.25">
      <c r="C17">
        <v>0</v>
      </c>
      <c r="D17">
        <v>0</v>
      </c>
      <c r="E17">
        <v>0</v>
      </c>
      <c r="F17">
        <v>1</v>
      </c>
      <c r="G17">
        <v>-1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</row>
    <row r="18" spans="3:82" x14ac:dyDescent="0.25">
      <c r="C18">
        <v>-1</v>
      </c>
      <c r="D18">
        <v>0</v>
      </c>
      <c r="E18">
        <v>0</v>
      </c>
      <c r="F18">
        <v>0</v>
      </c>
      <c r="G18">
        <v>1</v>
      </c>
      <c r="H18">
        <v>0</v>
      </c>
      <c r="I18">
        <v>-1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-1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-1</v>
      </c>
      <c r="AQ18">
        <v>0</v>
      </c>
      <c r="AR18">
        <v>0</v>
      </c>
      <c r="AS18">
        <v>1</v>
      </c>
      <c r="AT18">
        <v>0</v>
      </c>
      <c r="AU18">
        <v>-1</v>
      </c>
      <c r="AV18">
        <v>0</v>
      </c>
      <c r="AW18">
        <v>0</v>
      </c>
      <c r="AX18">
        <v>1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</row>
    <row r="19" spans="3:82" x14ac:dyDescent="0.25"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-1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-1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-0.6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-0.12189999999999999</v>
      </c>
    </row>
    <row r="20" spans="3:82" x14ac:dyDescent="0.25">
      <c r="C20">
        <v>0</v>
      </c>
      <c r="D20">
        <v>0</v>
      </c>
      <c r="E20">
        <v>0</v>
      </c>
      <c r="F20">
        <v>0</v>
      </c>
      <c r="G20">
        <v>0</v>
      </c>
      <c r="H20">
        <v>-1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</row>
    <row r="21" spans="3:82" x14ac:dyDescent="0.25"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-2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3:82" x14ac:dyDescent="0.25"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-78</v>
      </c>
      <c r="CD22">
        <v>-0.44900000000000001</v>
      </c>
    </row>
    <row r="23" spans="3:82" x14ac:dyDescent="0.25"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-1</v>
      </c>
      <c r="AS23">
        <v>0</v>
      </c>
      <c r="AT23">
        <v>-1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-28</v>
      </c>
      <c r="CD23">
        <v>-0.247</v>
      </c>
    </row>
    <row r="24" spans="3:82" x14ac:dyDescent="0.25"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-1</v>
      </c>
      <c r="BE24">
        <v>-1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-52</v>
      </c>
      <c r="CD24">
        <v>-0.20899999999999999</v>
      </c>
    </row>
    <row r="25" spans="3:82" x14ac:dyDescent="0.25"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-2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-1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-1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-46</v>
      </c>
      <c r="CD25">
        <v>-0.25800000000000001</v>
      </c>
    </row>
    <row r="26" spans="3:82" x14ac:dyDescent="0.25"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-1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-32</v>
      </c>
      <c r="CD26">
        <v>-8.3000000000000004E-2</v>
      </c>
    </row>
    <row r="27" spans="3:82" x14ac:dyDescent="0.25"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-1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3:82" x14ac:dyDescent="0.25"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-1</v>
      </c>
      <c r="AJ28">
        <v>-2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-60</v>
      </c>
      <c r="CD28">
        <v>-0.35299999999999998</v>
      </c>
    </row>
    <row r="29" spans="3:82" x14ac:dyDescent="0.25"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</v>
      </c>
      <c r="AD29">
        <v>1</v>
      </c>
      <c r="AE29">
        <v>1</v>
      </c>
      <c r="AF29">
        <v>2</v>
      </c>
      <c r="AG29">
        <v>1</v>
      </c>
      <c r="AH29">
        <v>0</v>
      </c>
      <c r="AI29">
        <v>1</v>
      </c>
      <c r="AJ29">
        <v>0</v>
      </c>
      <c r="AK29">
        <v>1</v>
      </c>
      <c r="AL29">
        <v>1</v>
      </c>
      <c r="AM29">
        <v>0</v>
      </c>
      <c r="AN29">
        <v>0</v>
      </c>
      <c r="AO29">
        <v>-1</v>
      </c>
      <c r="AP29">
        <v>-1</v>
      </c>
      <c r="AQ29">
        <v>1</v>
      </c>
      <c r="AR29">
        <v>4</v>
      </c>
      <c r="AS29">
        <v>1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-62</v>
      </c>
      <c r="CD29">
        <v>-0.30299999999999999</v>
      </c>
    </row>
    <row r="30" spans="3:82" x14ac:dyDescent="0.25"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</v>
      </c>
      <c r="AK30">
        <v>-1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-88</v>
      </c>
      <c r="CD30">
        <v>-0.47699999999999998</v>
      </c>
    </row>
    <row r="31" spans="3:82" x14ac:dyDescent="0.25"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-1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-1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-26</v>
      </c>
      <c r="CD31">
        <v>-2.0799999999999999E-2</v>
      </c>
    </row>
    <row r="32" spans="3:82" x14ac:dyDescent="0.25"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-1</v>
      </c>
      <c r="AD32">
        <v>-1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-28</v>
      </c>
      <c r="CD32">
        <v>-0.22</v>
      </c>
    </row>
    <row r="33" spans="3:82" x14ac:dyDescent="0.25"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3:82" x14ac:dyDescent="0.25"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-1</v>
      </c>
      <c r="AD34">
        <v>0</v>
      </c>
      <c r="AE34">
        <v>-1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-90</v>
      </c>
      <c r="CD34">
        <v>-0.42699999999999999</v>
      </c>
    </row>
    <row r="35" spans="3:82" x14ac:dyDescent="0.25"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-98</v>
      </c>
      <c r="CD35">
        <v>-0.38800000000000001</v>
      </c>
    </row>
    <row r="36" spans="3:82" x14ac:dyDescent="0.25"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-1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-12</v>
      </c>
      <c r="CD36">
        <v>-0.106</v>
      </c>
    </row>
    <row r="37" spans="3:82" x14ac:dyDescent="0.25"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2</v>
      </c>
      <c r="AL37">
        <v>0</v>
      </c>
      <c r="AM37">
        <v>1</v>
      </c>
      <c r="AN37">
        <v>1</v>
      </c>
      <c r="AO37">
        <v>1</v>
      </c>
      <c r="AP37">
        <v>0</v>
      </c>
      <c r="AQ37">
        <v>0</v>
      </c>
      <c r="AR37">
        <v>1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3:82" x14ac:dyDescent="0.25"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-40</v>
      </c>
      <c r="CD38">
        <v>-0.187</v>
      </c>
    </row>
    <row r="39" spans="3:82" x14ac:dyDescent="0.25"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-96</v>
      </c>
      <c r="CD39">
        <v>-0.222</v>
      </c>
    </row>
    <row r="40" spans="3:82" x14ac:dyDescent="0.25"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-1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-1</v>
      </c>
      <c r="AY40">
        <v>0</v>
      </c>
      <c r="AZ40">
        <v>-1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-1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-176</v>
      </c>
      <c r="CD40">
        <v>-0.32300000000000001</v>
      </c>
    </row>
    <row r="41" spans="3:82" x14ac:dyDescent="0.25"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-1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1</v>
      </c>
      <c r="BZ41">
        <v>0</v>
      </c>
      <c r="CA41">
        <v>0</v>
      </c>
      <c r="CB41">
        <v>0</v>
      </c>
      <c r="CC41">
        <v>-110</v>
      </c>
      <c r="CD41">
        <v>-0.255</v>
      </c>
    </row>
    <row r="42" spans="3:82" x14ac:dyDescent="0.25"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-1</v>
      </c>
      <c r="AD42">
        <v>0</v>
      </c>
      <c r="AE42">
        <v>0</v>
      </c>
      <c r="AF42">
        <v>0</v>
      </c>
      <c r="AG42">
        <v>-1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-1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-62</v>
      </c>
      <c r="CD42">
        <v>-0.13100000000000001</v>
      </c>
    </row>
    <row r="43" spans="3:82" x14ac:dyDescent="0.25"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-1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-1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-118</v>
      </c>
      <c r="CD43">
        <v>-0.32300000000000001</v>
      </c>
    </row>
    <row r="44" spans="3:82" x14ac:dyDescent="0.25"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-1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3:82" x14ac:dyDescent="0.25"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-1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3:82" x14ac:dyDescent="0.25"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-1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</row>
    <row r="47" spans="3:82" x14ac:dyDescent="0.25"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-1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</row>
    <row r="48" spans="3:82" x14ac:dyDescent="0.25"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-1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</row>
    <row r="49" spans="3:82" x14ac:dyDescent="0.25"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-1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</row>
    <row r="50" spans="3:82" x14ac:dyDescent="0.25"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-1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</row>
    <row r="51" spans="3:82" x14ac:dyDescent="0.25"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-1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</row>
    <row r="52" spans="3:82" x14ac:dyDescent="0.25"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-1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</row>
    <row r="53" spans="3:82" x14ac:dyDescent="0.25"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-1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</row>
    <row r="54" spans="3:82" x14ac:dyDescent="0.25"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-1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</row>
    <row r="55" spans="3:82" x14ac:dyDescent="0.25"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-1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</row>
    <row r="56" spans="3:82" x14ac:dyDescent="0.25"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-1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</row>
    <row r="57" spans="3:82" x14ac:dyDescent="0.25"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-1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3:82" x14ac:dyDescent="0.25"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-1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</row>
    <row r="59" spans="3:82" x14ac:dyDescent="0.25"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-1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3:82" x14ac:dyDescent="0.25"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-1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</row>
    <row r="61" spans="3:82" x14ac:dyDescent="0.25"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-1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</row>
    <row r="62" spans="3:82" x14ac:dyDescent="0.25"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-1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</row>
    <row r="63" spans="3:82" x14ac:dyDescent="0.25"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-1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</row>
    <row r="64" spans="3:82" x14ac:dyDescent="0.25"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-1</v>
      </c>
      <c r="BZ64">
        <v>0</v>
      </c>
      <c r="CA64">
        <v>0</v>
      </c>
      <c r="CB64">
        <v>0</v>
      </c>
      <c r="CC64">
        <v>0</v>
      </c>
      <c r="CD64">
        <v>0</v>
      </c>
    </row>
    <row r="65" spans="3:82" x14ac:dyDescent="0.25"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-1</v>
      </c>
      <c r="CA65">
        <v>0</v>
      </c>
      <c r="CB65">
        <v>0</v>
      </c>
      <c r="CC65">
        <v>0</v>
      </c>
      <c r="CD65">
        <v>0</v>
      </c>
    </row>
    <row r="66" spans="3:82" x14ac:dyDescent="0.25"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-1</v>
      </c>
      <c r="CB66">
        <v>0</v>
      </c>
      <c r="CC66">
        <v>0</v>
      </c>
      <c r="CD66">
        <v>0</v>
      </c>
    </row>
    <row r="67" spans="3:82" x14ac:dyDescent="0.25"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</row>
    <row r="68" spans="3:82" x14ac:dyDescent="0.25"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-1</v>
      </c>
      <c r="CC68">
        <v>0</v>
      </c>
      <c r="CD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Stoichiometric matrix</vt:lpstr>
      <vt:lpstr>Eqs_Formated</vt:lpstr>
      <vt:lpstr>Reactions</vt:lpstr>
      <vt:lpstr>Stoichiometric matrix_Eqs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ramos</dc:creator>
  <cp:lastModifiedBy>SBEgroup</cp:lastModifiedBy>
  <dcterms:created xsi:type="dcterms:W3CDTF">2014-11-12T15:13:51Z</dcterms:created>
  <dcterms:modified xsi:type="dcterms:W3CDTF">2024-11-11T13:48:29Z</dcterms:modified>
</cp:coreProperties>
</file>